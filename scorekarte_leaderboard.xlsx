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\Documents\Golf\Online_Leaderboard\"/>
    </mc:Choice>
  </mc:AlternateContent>
  <xr:revisionPtr revIDLastSave="0" documentId="8_{1677555D-E2C1-475C-8630-EC73AA2FB422}" xr6:coauthVersionLast="47" xr6:coauthVersionMax="47" xr10:uidLastSave="{00000000-0000-0000-0000-000000000000}"/>
  <bookViews>
    <workbookView xWindow="-3768" yWindow="-17388" windowWidth="30936" windowHeight="16776" xr2:uid="{00000000-000D-0000-FFFF-FFFF00000000}"/>
  </bookViews>
  <sheets>
    <sheet name="3-Spieler" sheetId="4" r:id="rId1"/>
    <sheet name="Basis" sheetId="2" state="hidden" r:id="rId2"/>
    <sheet name="HCP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4" l="1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U10" i="4"/>
  <c r="X10" i="4"/>
  <c r="V10" i="4"/>
  <c r="AA10" i="4"/>
  <c r="U11" i="4"/>
  <c r="X11" i="4"/>
  <c r="V11" i="4"/>
  <c r="AA11" i="4"/>
  <c r="U12" i="4"/>
  <c r="X12" i="4"/>
  <c r="V12" i="4"/>
  <c r="AA12" i="4"/>
  <c r="U13" i="4"/>
  <c r="X13" i="4"/>
  <c r="V13" i="4"/>
  <c r="AA13" i="4"/>
  <c r="U14" i="4"/>
  <c r="X14" i="4"/>
  <c r="V14" i="4"/>
  <c r="AA14" i="4"/>
  <c r="U15" i="4"/>
  <c r="X15" i="4"/>
  <c r="V15" i="4"/>
  <c r="AA15" i="4"/>
  <c r="U16" i="4"/>
  <c r="X16" i="4"/>
  <c r="V16" i="4"/>
  <c r="AA16" i="4"/>
  <c r="U17" i="4"/>
  <c r="X17" i="4"/>
  <c r="V17" i="4"/>
  <c r="AA17" i="4"/>
  <c r="U18" i="4"/>
  <c r="X18" i="4" s="1"/>
  <c r="V18" i="4"/>
  <c r="AA18" i="4"/>
  <c r="U43" i="4"/>
  <c r="X43" i="4"/>
  <c r="V43" i="4"/>
  <c r="AA43" i="4"/>
  <c r="AA44" i="4"/>
  <c r="AA45" i="4"/>
  <c r="AA46" i="4"/>
  <c r="AA47" i="4"/>
  <c r="AA48" i="4"/>
  <c r="AA49" i="4"/>
  <c r="AA50" i="4"/>
  <c r="AA51" i="4"/>
  <c r="AA62" i="4"/>
  <c r="U76" i="4"/>
  <c r="X76" i="4"/>
  <c r="V76" i="4"/>
  <c r="AA76" i="4"/>
  <c r="AA77" i="4"/>
  <c r="AA78" i="4"/>
  <c r="AA79" i="4"/>
  <c r="AA80" i="4"/>
  <c r="AA81" i="4"/>
  <c r="AA82" i="4"/>
  <c r="AA83" i="4"/>
  <c r="AA84" i="4"/>
  <c r="AA95" i="4"/>
  <c r="O10" i="4"/>
  <c r="M10" i="4"/>
  <c r="R10" i="4"/>
  <c r="O11" i="4"/>
  <c r="M11" i="4"/>
  <c r="R11" i="4"/>
  <c r="O12" i="4"/>
  <c r="M12" i="4"/>
  <c r="R12" i="4"/>
  <c r="O13" i="4"/>
  <c r="M13" i="4"/>
  <c r="R13" i="4"/>
  <c r="O14" i="4"/>
  <c r="M14" i="4"/>
  <c r="R14" i="4"/>
  <c r="O15" i="4"/>
  <c r="M15" i="4"/>
  <c r="R15" i="4"/>
  <c r="O16" i="4"/>
  <c r="M16" i="4"/>
  <c r="R16" i="4"/>
  <c r="O17" i="4"/>
  <c r="M17" i="4"/>
  <c r="R17" i="4"/>
  <c r="O18" i="4"/>
  <c r="M18" i="4"/>
  <c r="R18" i="4"/>
  <c r="O43" i="4"/>
  <c r="M43" i="4"/>
  <c r="R43" i="4"/>
  <c r="R44" i="4"/>
  <c r="R45" i="4"/>
  <c r="R46" i="4"/>
  <c r="R47" i="4"/>
  <c r="R48" i="4"/>
  <c r="R49" i="4"/>
  <c r="R50" i="4"/>
  <c r="R51" i="4"/>
  <c r="O76" i="4"/>
  <c r="M76" i="4"/>
  <c r="R76" i="4"/>
  <c r="R77" i="4"/>
  <c r="R78" i="4"/>
  <c r="R79" i="4"/>
  <c r="R80" i="4"/>
  <c r="R81" i="4"/>
  <c r="R82" i="4"/>
  <c r="R83" i="4"/>
  <c r="R84" i="4"/>
  <c r="R95" i="4"/>
  <c r="I10" i="4"/>
  <c r="I11" i="4"/>
  <c r="I12" i="4"/>
  <c r="I13" i="4"/>
  <c r="I14" i="4"/>
  <c r="I15" i="4"/>
  <c r="I16" i="4"/>
  <c r="I17" i="4"/>
  <c r="I18" i="4"/>
  <c r="F43" i="4"/>
  <c r="I43" i="4"/>
  <c r="I44" i="4"/>
  <c r="I45" i="4"/>
  <c r="I46" i="4"/>
  <c r="I47" i="4"/>
  <c r="I48" i="4"/>
  <c r="I49" i="4"/>
  <c r="I50" i="4"/>
  <c r="I51" i="4"/>
  <c r="F76" i="4"/>
  <c r="I76" i="4"/>
  <c r="I77" i="4"/>
  <c r="I78" i="4"/>
  <c r="I79" i="4"/>
  <c r="I80" i="4"/>
  <c r="I81" i="4"/>
  <c r="I82" i="4"/>
  <c r="I83" i="4"/>
  <c r="I97" i="4" s="1"/>
  <c r="F73" i="4" s="1"/>
  <c r="F74" i="4" s="1"/>
  <c r="I84" i="4"/>
  <c r="I95" i="4"/>
  <c r="Z10" i="4"/>
  <c r="Z11" i="4"/>
  <c r="Z12" i="4"/>
  <c r="Z13" i="4"/>
  <c r="Z14" i="4"/>
  <c r="Z15" i="4"/>
  <c r="Z16" i="4"/>
  <c r="Z17" i="4"/>
  <c r="Z18" i="4"/>
  <c r="Z29" i="4"/>
  <c r="Z43" i="4"/>
  <c r="V44" i="4"/>
  <c r="Z44" i="4"/>
  <c r="V45" i="4"/>
  <c r="Z45" i="4"/>
  <c r="V46" i="4"/>
  <c r="Z46" i="4"/>
  <c r="V47" i="4"/>
  <c r="Z47" i="4"/>
  <c r="V48" i="4"/>
  <c r="Z48" i="4"/>
  <c r="V49" i="4"/>
  <c r="Z49" i="4"/>
  <c r="V50" i="4"/>
  <c r="Z50" i="4"/>
  <c r="V51" i="4"/>
  <c r="Z51" i="4"/>
  <c r="Z76" i="4"/>
  <c r="Z97" i="4" s="1"/>
  <c r="V77" i="4"/>
  <c r="Z77" i="4"/>
  <c r="V78" i="4"/>
  <c r="Z78" i="4"/>
  <c r="V79" i="4"/>
  <c r="Z79" i="4"/>
  <c r="V80" i="4"/>
  <c r="Z80" i="4"/>
  <c r="V81" i="4"/>
  <c r="Z81" i="4"/>
  <c r="V82" i="4"/>
  <c r="Z82" i="4"/>
  <c r="V83" i="4"/>
  <c r="Z83" i="4"/>
  <c r="V84" i="4"/>
  <c r="Z84" i="4"/>
  <c r="Z95" i="4"/>
  <c r="Q10" i="4"/>
  <c r="Q11" i="4"/>
  <c r="Q12" i="4"/>
  <c r="Q13" i="4"/>
  <c r="Q14" i="4"/>
  <c r="Q15" i="4"/>
  <c r="Q16" i="4"/>
  <c r="Q17" i="4"/>
  <c r="Q18" i="4"/>
  <c r="Q29" i="4"/>
  <c r="Q43" i="4"/>
  <c r="M44" i="4"/>
  <c r="Q44" i="4"/>
  <c r="M45" i="4"/>
  <c r="Q45" i="4"/>
  <c r="M46" i="4"/>
  <c r="Q46" i="4"/>
  <c r="M47" i="4"/>
  <c r="Q47" i="4"/>
  <c r="M48" i="4"/>
  <c r="Q48" i="4"/>
  <c r="M49" i="4"/>
  <c r="Q49" i="4"/>
  <c r="M50" i="4"/>
  <c r="Q50" i="4"/>
  <c r="M51" i="4"/>
  <c r="Q51" i="4"/>
  <c r="Q76" i="4"/>
  <c r="Q97" i="4" s="1"/>
  <c r="M77" i="4"/>
  <c r="Q77" i="4"/>
  <c r="M78" i="4"/>
  <c r="Q78" i="4"/>
  <c r="M79" i="4"/>
  <c r="Q79" i="4"/>
  <c r="M80" i="4"/>
  <c r="Q80" i="4"/>
  <c r="M81" i="4"/>
  <c r="Q81" i="4"/>
  <c r="M82" i="4"/>
  <c r="Q82" i="4"/>
  <c r="M83" i="4"/>
  <c r="Q83" i="4"/>
  <c r="M84" i="4"/>
  <c r="Q84" i="4"/>
  <c r="Q95" i="4"/>
  <c r="H10" i="4"/>
  <c r="H11" i="4"/>
  <c r="H12" i="4"/>
  <c r="H13" i="4"/>
  <c r="H14" i="4"/>
  <c r="H15" i="4"/>
  <c r="H16" i="4"/>
  <c r="H17" i="4"/>
  <c r="H18" i="4"/>
  <c r="H29" i="4"/>
  <c r="H43" i="4"/>
  <c r="H44" i="4"/>
  <c r="H45" i="4"/>
  <c r="H46" i="4"/>
  <c r="H47" i="4"/>
  <c r="H48" i="4"/>
  <c r="H49" i="4"/>
  <c r="H50" i="4"/>
  <c r="H51" i="4"/>
  <c r="H76" i="4"/>
  <c r="H97" i="4" s="1"/>
  <c r="H77" i="4"/>
  <c r="H78" i="4"/>
  <c r="H79" i="4"/>
  <c r="H80" i="4"/>
  <c r="H81" i="4"/>
  <c r="H82" i="4"/>
  <c r="H83" i="4"/>
  <c r="H84" i="4"/>
  <c r="H95" i="4"/>
  <c r="Y29" i="4"/>
  <c r="Y62" i="4"/>
  <c r="Y95" i="4"/>
  <c r="AS97" i="4"/>
  <c r="P29" i="4"/>
  <c r="P62" i="4"/>
  <c r="P95" i="4"/>
  <c r="AR97" i="4"/>
  <c r="G29" i="4"/>
  <c r="G62" i="4"/>
  <c r="G95" i="4"/>
  <c r="AQ97" i="4"/>
  <c r="G96" i="4"/>
  <c r="X102" i="4"/>
  <c r="O102" i="4"/>
  <c r="F102" i="4"/>
  <c r="X69" i="4"/>
  <c r="O69" i="4"/>
  <c r="F69" i="4"/>
  <c r="X36" i="4"/>
  <c r="O36" i="4"/>
  <c r="F36" i="4"/>
  <c r="Y31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09" i="4"/>
  <c r="O77" i="4"/>
  <c r="O97" i="4" s="1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F77" i="4"/>
  <c r="F97" i="4" s="1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X104" i="4"/>
  <c r="X105" i="4" s="1"/>
  <c r="O104" i="4"/>
  <c r="O105" i="4" s="1"/>
  <c r="F104" i="4"/>
  <c r="F105" i="4" s="1"/>
  <c r="X71" i="4"/>
  <c r="X72" i="4" s="1"/>
  <c r="X73" i="4" s="1"/>
  <c r="X74" i="4" s="1"/>
  <c r="O71" i="4"/>
  <c r="O72" i="4" s="1"/>
  <c r="O73" i="4" s="1"/>
  <c r="O74" i="4" s="1"/>
  <c r="F71" i="4"/>
  <c r="F72" i="4" s="1"/>
  <c r="X38" i="4"/>
  <c r="X39" i="4" s="1"/>
  <c r="O38" i="4"/>
  <c r="O39" i="4" s="1"/>
  <c r="F38" i="4"/>
  <c r="F39" i="4"/>
  <c r="X5" i="4"/>
  <c r="X6" i="4" s="1"/>
  <c r="O5" i="4"/>
  <c r="O6" i="4" s="1"/>
  <c r="F5" i="4"/>
  <c r="F6" i="4" s="1"/>
  <c r="C20" i="6"/>
  <c r="C22" i="6" s="1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89" i="6"/>
  <c r="E389" i="6" s="1"/>
  <c r="F389" i="6" s="1"/>
  <c r="G389" i="6" s="1"/>
  <c r="H389" i="6" s="1"/>
  <c r="I389" i="6" s="1"/>
  <c r="J389" i="6" s="1"/>
  <c r="K389" i="6" s="1"/>
  <c r="L389" i="6" s="1"/>
  <c r="M389" i="6" s="1"/>
  <c r="N389" i="6" s="1"/>
  <c r="O389" i="6" s="1"/>
  <c r="P389" i="6" s="1"/>
  <c r="Q389" i="6" s="1"/>
  <c r="R389" i="6" s="1"/>
  <c r="S389" i="6" s="1"/>
  <c r="T389" i="6" s="1"/>
  <c r="U389" i="6" s="1"/>
  <c r="V389" i="6" s="1"/>
  <c r="W389" i="6" s="1"/>
  <c r="X389" i="6" s="1"/>
  <c r="Y389" i="6" s="1"/>
  <c r="Z389" i="6" s="1"/>
  <c r="AA389" i="6" s="1"/>
  <c r="AB389" i="6" s="1"/>
  <c r="AC389" i="6" s="1"/>
  <c r="AD389" i="6" s="1"/>
  <c r="AE389" i="6" s="1"/>
  <c r="AF389" i="6" s="1"/>
  <c r="AG389" i="6" s="1"/>
  <c r="AH389" i="6" s="1"/>
  <c r="AI389" i="6" s="1"/>
  <c r="AJ389" i="6" s="1"/>
  <c r="AK389" i="6" s="1"/>
  <c r="D388" i="6"/>
  <c r="E388" i="6" s="1"/>
  <c r="F388" i="6" s="1"/>
  <c r="G388" i="6" s="1"/>
  <c r="H388" i="6" s="1"/>
  <c r="I388" i="6" s="1"/>
  <c r="J388" i="6" s="1"/>
  <c r="K388" i="6" s="1"/>
  <c r="L388" i="6" s="1"/>
  <c r="M388" i="6" s="1"/>
  <c r="N388" i="6" s="1"/>
  <c r="O388" i="6" s="1"/>
  <c r="P388" i="6" s="1"/>
  <c r="Q388" i="6" s="1"/>
  <c r="R388" i="6" s="1"/>
  <c r="S388" i="6" s="1"/>
  <c r="T388" i="6" s="1"/>
  <c r="U388" i="6" s="1"/>
  <c r="V388" i="6" s="1"/>
  <c r="W388" i="6" s="1"/>
  <c r="X388" i="6" s="1"/>
  <c r="Y388" i="6" s="1"/>
  <c r="Z388" i="6" s="1"/>
  <c r="AA388" i="6" s="1"/>
  <c r="AB388" i="6" s="1"/>
  <c r="AC388" i="6" s="1"/>
  <c r="AD388" i="6" s="1"/>
  <c r="AE388" i="6" s="1"/>
  <c r="AF388" i="6" s="1"/>
  <c r="AG388" i="6" s="1"/>
  <c r="AH388" i="6" s="1"/>
  <c r="AI388" i="6" s="1"/>
  <c r="AJ388" i="6" s="1"/>
  <c r="AK388" i="6" s="1"/>
  <c r="D387" i="6"/>
  <c r="E387" i="6" s="1"/>
  <c r="F387" i="6" s="1"/>
  <c r="G387" i="6" s="1"/>
  <c r="H387" i="6" s="1"/>
  <c r="I387" i="6" s="1"/>
  <c r="J387" i="6" s="1"/>
  <c r="K387" i="6" s="1"/>
  <c r="L387" i="6" s="1"/>
  <c r="M387" i="6" s="1"/>
  <c r="N387" i="6" s="1"/>
  <c r="O387" i="6" s="1"/>
  <c r="P387" i="6" s="1"/>
  <c r="Q387" i="6" s="1"/>
  <c r="R387" i="6" s="1"/>
  <c r="S387" i="6" s="1"/>
  <c r="T387" i="6" s="1"/>
  <c r="U387" i="6" s="1"/>
  <c r="V387" i="6" s="1"/>
  <c r="W387" i="6" s="1"/>
  <c r="X387" i="6" s="1"/>
  <c r="Y387" i="6" s="1"/>
  <c r="Z387" i="6" s="1"/>
  <c r="AA387" i="6" s="1"/>
  <c r="AB387" i="6" s="1"/>
  <c r="AC387" i="6" s="1"/>
  <c r="AD387" i="6" s="1"/>
  <c r="AE387" i="6" s="1"/>
  <c r="AF387" i="6" s="1"/>
  <c r="AG387" i="6" s="1"/>
  <c r="AH387" i="6" s="1"/>
  <c r="AI387" i="6" s="1"/>
  <c r="AJ387" i="6" s="1"/>
  <c r="AK387" i="6" s="1"/>
  <c r="D386" i="6"/>
  <c r="E386" i="6" s="1"/>
  <c r="F386" i="6" s="1"/>
  <c r="G386" i="6" s="1"/>
  <c r="H386" i="6" s="1"/>
  <c r="I386" i="6" s="1"/>
  <c r="J386" i="6" s="1"/>
  <c r="K386" i="6" s="1"/>
  <c r="L386" i="6" s="1"/>
  <c r="M386" i="6" s="1"/>
  <c r="N386" i="6" s="1"/>
  <c r="O386" i="6" s="1"/>
  <c r="P386" i="6" s="1"/>
  <c r="Q386" i="6" s="1"/>
  <c r="R386" i="6" s="1"/>
  <c r="S386" i="6" s="1"/>
  <c r="T386" i="6" s="1"/>
  <c r="U386" i="6" s="1"/>
  <c r="V386" i="6" s="1"/>
  <c r="W386" i="6" s="1"/>
  <c r="X386" i="6" s="1"/>
  <c r="Y386" i="6" s="1"/>
  <c r="Z386" i="6" s="1"/>
  <c r="AA386" i="6" s="1"/>
  <c r="AB386" i="6" s="1"/>
  <c r="AC386" i="6" s="1"/>
  <c r="AD386" i="6" s="1"/>
  <c r="AE386" i="6" s="1"/>
  <c r="AF386" i="6" s="1"/>
  <c r="AG386" i="6" s="1"/>
  <c r="AH386" i="6" s="1"/>
  <c r="AI386" i="6" s="1"/>
  <c r="AJ386" i="6" s="1"/>
  <c r="AK386" i="6" s="1"/>
  <c r="D385" i="6"/>
  <c r="E385" i="6" s="1"/>
  <c r="F385" i="6" s="1"/>
  <c r="G385" i="6" s="1"/>
  <c r="H385" i="6" s="1"/>
  <c r="I385" i="6" s="1"/>
  <c r="J385" i="6" s="1"/>
  <c r="K385" i="6" s="1"/>
  <c r="L385" i="6" s="1"/>
  <c r="M385" i="6" s="1"/>
  <c r="N385" i="6" s="1"/>
  <c r="O385" i="6" s="1"/>
  <c r="P385" i="6" s="1"/>
  <c r="Q385" i="6" s="1"/>
  <c r="R385" i="6" s="1"/>
  <c r="S385" i="6" s="1"/>
  <c r="T385" i="6" s="1"/>
  <c r="U385" i="6" s="1"/>
  <c r="V385" i="6" s="1"/>
  <c r="W385" i="6" s="1"/>
  <c r="X385" i="6" s="1"/>
  <c r="Y385" i="6" s="1"/>
  <c r="Z385" i="6" s="1"/>
  <c r="AA385" i="6" s="1"/>
  <c r="AB385" i="6" s="1"/>
  <c r="AC385" i="6" s="1"/>
  <c r="AD385" i="6" s="1"/>
  <c r="AE385" i="6" s="1"/>
  <c r="AF385" i="6" s="1"/>
  <c r="AG385" i="6" s="1"/>
  <c r="AH385" i="6" s="1"/>
  <c r="AI385" i="6" s="1"/>
  <c r="AJ385" i="6" s="1"/>
  <c r="AK385" i="6" s="1"/>
  <c r="D384" i="6"/>
  <c r="E384" i="6" s="1"/>
  <c r="F384" i="6" s="1"/>
  <c r="G384" i="6" s="1"/>
  <c r="H384" i="6" s="1"/>
  <c r="I384" i="6" s="1"/>
  <c r="J384" i="6" s="1"/>
  <c r="K384" i="6" s="1"/>
  <c r="L384" i="6" s="1"/>
  <c r="M384" i="6" s="1"/>
  <c r="N384" i="6" s="1"/>
  <c r="O384" i="6" s="1"/>
  <c r="P384" i="6" s="1"/>
  <c r="Q384" i="6" s="1"/>
  <c r="R384" i="6" s="1"/>
  <c r="S384" i="6" s="1"/>
  <c r="T384" i="6" s="1"/>
  <c r="U384" i="6" s="1"/>
  <c r="V384" i="6" s="1"/>
  <c r="W384" i="6" s="1"/>
  <c r="X384" i="6" s="1"/>
  <c r="Y384" i="6" s="1"/>
  <c r="Z384" i="6" s="1"/>
  <c r="AA384" i="6" s="1"/>
  <c r="AB384" i="6" s="1"/>
  <c r="AC384" i="6" s="1"/>
  <c r="AD384" i="6" s="1"/>
  <c r="AE384" i="6" s="1"/>
  <c r="AF384" i="6" s="1"/>
  <c r="AG384" i="6" s="1"/>
  <c r="AH384" i="6" s="1"/>
  <c r="AI384" i="6" s="1"/>
  <c r="AJ384" i="6" s="1"/>
  <c r="AK384" i="6" s="1"/>
  <c r="D383" i="6"/>
  <c r="E383" i="6" s="1"/>
  <c r="F383" i="6" s="1"/>
  <c r="G383" i="6" s="1"/>
  <c r="H383" i="6" s="1"/>
  <c r="I383" i="6" s="1"/>
  <c r="J383" i="6" s="1"/>
  <c r="K383" i="6" s="1"/>
  <c r="L383" i="6" s="1"/>
  <c r="M383" i="6" s="1"/>
  <c r="N383" i="6" s="1"/>
  <c r="O383" i="6" s="1"/>
  <c r="P383" i="6" s="1"/>
  <c r="Q383" i="6" s="1"/>
  <c r="R383" i="6" s="1"/>
  <c r="S383" i="6" s="1"/>
  <c r="T383" i="6" s="1"/>
  <c r="U383" i="6" s="1"/>
  <c r="V383" i="6" s="1"/>
  <c r="W383" i="6" s="1"/>
  <c r="X383" i="6" s="1"/>
  <c r="Y383" i="6" s="1"/>
  <c r="Z383" i="6" s="1"/>
  <c r="AA383" i="6" s="1"/>
  <c r="AB383" i="6" s="1"/>
  <c r="AC383" i="6" s="1"/>
  <c r="AD383" i="6" s="1"/>
  <c r="AE383" i="6" s="1"/>
  <c r="AF383" i="6" s="1"/>
  <c r="AG383" i="6" s="1"/>
  <c r="AH383" i="6" s="1"/>
  <c r="AI383" i="6" s="1"/>
  <c r="AJ383" i="6" s="1"/>
  <c r="AK383" i="6" s="1"/>
  <c r="D382" i="6"/>
  <c r="E382" i="6" s="1"/>
  <c r="F382" i="6" s="1"/>
  <c r="G382" i="6" s="1"/>
  <c r="H382" i="6" s="1"/>
  <c r="I382" i="6" s="1"/>
  <c r="J382" i="6" s="1"/>
  <c r="K382" i="6" s="1"/>
  <c r="L382" i="6" s="1"/>
  <c r="M382" i="6" s="1"/>
  <c r="N382" i="6" s="1"/>
  <c r="O382" i="6" s="1"/>
  <c r="P382" i="6" s="1"/>
  <c r="Q382" i="6" s="1"/>
  <c r="R382" i="6" s="1"/>
  <c r="S382" i="6" s="1"/>
  <c r="T382" i="6" s="1"/>
  <c r="U382" i="6" s="1"/>
  <c r="V382" i="6" s="1"/>
  <c r="W382" i="6" s="1"/>
  <c r="X382" i="6" s="1"/>
  <c r="Y382" i="6" s="1"/>
  <c r="Z382" i="6" s="1"/>
  <c r="AA382" i="6" s="1"/>
  <c r="AB382" i="6" s="1"/>
  <c r="AC382" i="6" s="1"/>
  <c r="AD382" i="6" s="1"/>
  <c r="AE382" i="6" s="1"/>
  <c r="AF382" i="6" s="1"/>
  <c r="AG382" i="6" s="1"/>
  <c r="AH382" i="6" s="1"/>
  <c r="AI382" i="6" s="1"/>
  <c r="AJ382" i="6" s="1"/>
  <c r="AK382" i="6" s="1"/>
  <c r="D381" i="6"/>
  <c r="E381" i="6" s="1"/>
  <c r="F381" i="6" s="1"/>
  <c r="G381" i="6" s="1"/>
  <c r="H381" i="6" s="1"/>
  <c r="I381" i="6" s="1"/>
  <c r="J381" i="6" s="1"/>
  <c r="K381" i="6" s="1"/>
  <c r="L381" i="6" s="1"/>
  <c r="M381" i="6" s="1"/>
  <c r="N381" i="6" s="1"/>
  <c r="O381" i="6" s="1"/>
  <c r="P381" i="6" s="1"/>
  <c r="Q381" i="6" s="1"/>
  <c r="R381" i="6" s="1"/>
  <c r="S381" i="6" s="1"/>
  <c r="T381" i="6" s="1"/>
  <c r="U381" i="6" s="1"/>
  <c r="V381" i="6" s="1"/>
  <c r="W381" i="6" s="1"/>
  <c r="X381" i="6" s="1"/>
  <c r="Y381" i="6" s="1"/>
  <c r="Z381" i="6" s="1"/>
  <c r="AA381" i="6" s="1"/>
  <c r="AB381" i="6" s="1"/>
  <c r="AC381" i="6" s="1"/>
  <c r="AD381" i="6" s="1"/>
  <c r="AE381" i="6" s="1"/>
  <c r="AF381" i="6" s="1"/>
  <c r="AG381" i="6" s="1"/>
  <c r="AH381" i="6" s="1"/>
  <c r="AI381" i="6" s="1"/>
  <c r="AJ381" i="6" s="1"/>
  <c r="AK381" i="6" s="1"/>
  <c r="D380" i="6"/>
  <c r="E380" i="6" s="1"/>
  <c r="F380" i="6" s="1"/>
  <c r="G380" i="6" s="1"/>
  <c r="H380" i="6" s="1"/>
  <c r="I380" i="6" s="1"/>
  <c r="J380" i="6" s="1"/>
  <c r="K380" i="6" s="1"/>
  <c r="L380" i="6" s="1"/>
  <c r="M380" i="6" s="1"/>
  <c r="N380" i="6" s="1"/>
  <c r="O380" i="6" s="1"/>
  <c r="P380" i="6" s="1"/>
  <c r="Q380" i="6" s="1"/>
  <c r="R380" i="6" s="1"/>
  <c r="S380" i="6" s="1"/>
  <c r="T380" i="6" s="1"/>
  <c r="U380" i="6" s="1"/>
  <c r="V380" i="6" s="1"/>
  <c r="W380" i="6" s="1"/>
  <c r="X380" i="6" s="1"/>
  <c r="Y380" i="6" s="1"/>
  <c r="Z380" i="6" s="1"/>
  <c r="AA380" i="6" s="1"/>
  <c r="AB380" i="6" s="1"/>
  <c r="AC380" i="6" s="1"/>
  <c r="AD380" i="6" s="1"/>
  <c r="AE380" i="6" s="1"/>
  <c r="AF380" i="6" s="1"/>
  <c r="AG380" i="6" s="1"/>
  <c r="AH380" i="6" s="1"/>
  <c r="AI380" i="6" s="1"/>
  <c r="AJ380" i="6" s="1"/>
  <c r="AK380" i="6" s="1"/>
  <c r="D379" i="6"/>
  <c r="E379" i="6" s="1"/>
  <c r="F379" i="6" s="1"/>
  <c r="G379" i="6" s="1"/>
  <c r="H379" i="6" s="1"/>
  <c r="I379" i="6" s="1"/>
  <c r="J379" i="6" s="1"/>
  <c r="K379" i="6" s="1"/>
  <c r="L379" i="6" s="1"/>
  <c r="M379" i="6" s="1"/>
  <c r="N379" i="6" s="1"/>
  <c r="O379" i="6" s="1"/>
  <c r="P379" i="6" s="1"/>
  <c r="Q379" i="6" s="1"/>
  <c r="R379" i="6" s="1"/>
  <c r="S379" i="6" s="1"/>
  <c r="T379" i="6" s="1"/>
  <c r="U379" i="6" s="1"/>
  <c r="V379" i="6" s="1"/>
  <c r="W379" i="6" s="1"/>
  <c r="X379" i="6" s="1"/>
  <c r="Y379" i="6" s="1"/>
  <c r="Z379" i="6" s="1"/>
  <c r="AA379" i="6" s="1"/>
  <c r="AB379" i="6" s="1"/>
  <c r="AC379" i="6" s="1"/>
  <c r="AD379" i="6" s="1"/>
  <c r="AE379" i="6" s="1"/>
  <c r="AF379" i="6" s="1"/>
  <c r="AG379" i="6" s="1"/>
  <c r="AH379" i="6" s="1"/>
  <c r="AI379" i="6" s="1"/>
  <c r="AJ379" i="6" s="1"/>
  <c r="AK379" i="6" s="1"/>
  <c r="D378" i="6"/>
  <c r="E378" i="6" s="1"/>
  <c r="F378" i="6" s="1"/>
  <c r="G378" i="6" s="1"/>
  <c r="H378" i="6" s="1"/>
  <c r="I378" i="6" s="1"/>
  <c r="J378" i="6" s="1"/>
  <c r="K378" i="6" s="1"/>
  <c r="L378" i="6" s="1"/>
  <c r="M378" i="6" s="1"/>
  <c r="N378" i="6" s="1"/>
  <c r="O378" i="6" s="1"/>
  <c r="P378" i="6" s="1"/>
  <c r="Q378" i="6" s="1"/>
  <c r="R378" i="6" s="1"/>
  <c r="S378" i="6" s="1"/>
  <c r="T378" i="6" s="1"/>
  <c r="U378" i="6" s="1"/>
  <c r="V378" i="6" s="1"/>
  <c r="W378" i="6" s="1"/>
  <c r="X378" i="6" s="1"/>
  <c r="Y378" i="6" s="1"/>
  <c r="Z378" i="6" s="1"/>
  <c r="AA378" i="6" s="1"/>
  <c r="AB378" i="6" s="1"/>
  <c r="AC378" i="6" s="1"/>
  <c r="AD378" i="6" s="1"/>
  <c r="AE378" i="6" s="1"/>
  <c r="AF378" i="6" s="1"/>
  <c r="AG378" i="6" s="1"/>
  <c r="AH378" i="6" s="1"/>
  <c r="AI378" i="6" s="1"/>
  <c r="AJ378" i="6" s="1"/>
  <c r="AK378" i="6" s="1"/>
  <c r="D377" i="6"/>
  <c r="E377" i="6" s="1"/>
  <c r="F377" i="6" s="1"/>
  <c r="G377" i="6" s="1"/>
  <c r="H377" i="6" s="1"/>
  <c r="I377" i="6" s="1"/>
  <c r="J377" i="6" s="1"/>
  <c r="K377" i="6" s="1"/>
  <c r="L377" i="6" s="1"/>
  <c r="M377" i="6" s="1"/>
  <c r="N377" i="6" s="1"/>
  <c r="O377" i="6" s="1"/>
  <c r="P377" i="6" s="1"/>
  <c r="Q377" i="6" s="1"/>
  <c r="R377" i="6" s="1"/>
  <c r="S377" i="6" s="1"/>
  <c r="T377" i="6" s="1"/>
  <c r="U377" i="6" s="1"/>
  <c r="V377" i="6" s="1"/>
  <c r="W377" i="6" s="1"/>
  <c r="X377" i="6" s="1"/>
  <c r="Y377" i="6" s="1"/>
  <c r="Z377" i="6" s="1"/>
  <c r="AA377" i="6" s="1"/>
  <c r="AB377" i="6" s="1"/>
  <c r="AC377" i="6" s="1"/>
  <c r="AD377" i="6" s="1"/>
  <c r="AE377" i="6" s="1"/>
  <c r="AF377" i="6" s="1"/>
  <c r="AG377" i="6" s="1"/>
  <c r="AH377" i="6" s="1"/>
  <c r="AI377" i="6" s="1"/>
  <c r="AJ377" i="6" s="1"/>
  <c r="AK377" i="6" s="1"/>
  <c r="D376" i="6"/>
  <c r="E376" i="6"/>
  <c r="F376" i="6"/>
  <c r="G376" i="6"/>
  <c r="H376" i="6"/>
  <c r="I376" i="6" s="1"/>
  <c r="J376" i="6" s="1"/>
  <c r="K376" i="6" s="1"/>
  <c r="L376" i="6" s="1"/>
  <c r="M376" i="6" s="1"/>
  <c r="N376" i="6" s="1"/>
  <c r="O376" i="6" s="1"/>
  <c r="P376" i="6" s="1"/>
  <c r="Q376" i="6" s="1"/>
  <c r="R376" i="6" s="1"/>
  <c r="S376" i="6" s="1"/>
  <c r="T376" i="6" s="1"/>
  <c r="U376" i="6" s="1"/>
  <c r="V376" i="6" s="1"/>
  <c r="W376" i="6" s="1"/>
  <c r="X376" i="6" s="1"/>
  <c r="Y376" i="6" s="1"/>
  <c r="Z376" i="6" s="1"/>
  <c r="AA376" i="6" s="1"/>
  <c r="AB376" i="6" s="1"/>
  <c r="AC376" i="6" s="1"/>
  <c r="AD376" i="6" s="1"/>
  <c r="AE376" i="6" s="1"/>
  <c r="AF376" i="6" s="1"/>
  <c r="AG376" i="6" s="1"/>
  <c r="AH376" i="6" s="1"/>
  <c r="AI376" i="6" s="1"/>
  <c r="AJ376" i="6" s="1"/>
  <c r="AK376" i="6" s="1"/>
  <c r="D375" i="6"/>
  <c r="E375" i="6"/>
  <c r="F375" i="6"/>
  <c r="G375" i="6"/>
  <c r="H375" i="6"/>
  <c r="I375" i="6"/>
  <c r="J375" i="6"/>
  <c r="K375" i="6"/>
  <c r="L375" i="6"/>
  <c r="M375" i="6"/>
  <c r="N375" i="6"/>
  <c r="O375" i="6"/>
  <c r="P375" i="6" s="1"/>
  <c r="Q375" i="6" s="1"/>
  <c r="R375" i="6" s="1"/>
  <c r="S375" i="6" s="1"/>
  <c r="T375" i="6" s="1"/>
  <c r="U375" i="6" s="1"/>
  <c r="V375" i="6" s="1"/>
  <c r="W375" i="6" s="1"/>
  <c r="X375" i="6" s="1"/>
  <c r="Y375" i="6" s="1"/>
  <c r="Z375" i="6" s="1"/>
  <c r="AA375" i="6" s="1"/>
  <c r="AB375" i="6" s="1"/>
  <c r="AC375" i="6" s="1"/>
  <c r="AD375" i="6" s="1"/>
  <c r="AE375" i="6" s="1"/>
  <c r="AF375" i="6" s="1"/>
  <c r="AG375" i="6" s="1"/>
  <c r="AH375" i="6" s="1"/>
  <c r="AI375" i="6" s="1"/>
  <c r="AJ375" i="6" s="1"/>
  <c r="AK375" i="6" s="1"/>
  <c r="D374" i="6"/>
  <c r="E374" i="6"/>
  <c r="F374" i="6"/>
  <c r="G374" i="6"/>
  <c r="H374" i="6"/>
  <c r="I374" i="6"/>
  <c r="J374" i="6"/>
  <c r="K374" i="6"/>
  <c r="L374" i="6"/>
  <c r="M374" i="6"/>
  <c r="N374" i="6"/>
  <c r="O374" i="6"/>
  <c r="P374" i="6"/>
  <c r="Q374" i="6"/>
  <c r="R374" i="6"/>
  <c r="S374" i="6"/>
  <c r="T374" i="6"/>
  <c r="U374" i="6"/>
  <c r="V374" i="6"/>
  <c r="W374" i="6"/>
  <c r="X374" i="6"/>
  <c r="Y374" i="6"/>
  <c r="Z374" i="6"/>
  <c r="AA374" i="6"/>
  <c r="AB374" i="6"/>
  <c r="AC374" i="6"/>
  <c r="AD374" i="6"/>
  <c r="AE374" i="6"/>
  <c r="AF374" i="6"/>
  <c r="AG374" i="6"/>
  <c r="AH374" i="6"/>
  <c r="AI374" i="6"/>
  <c r="AJ374" i="6"/>
  <c r="AK374" i="6"/>
  <c r="D373" i="6"/>
  <c r="E373" i="6"/>
  <c r="F373" i="6"/>
  <c r="G373" i="6"/>
  <c r="H373" i="6"/>
  <c r="I373" i="6"/>
  <c r="J373" i="6"/>
  <c r="K373" i="6"/>
  <c r="L373" i="6"/>
  <c r="M373" i="6"/>
  <c r="N373" i="6"/>
  <c r="O373" i="6"/>
  <c r="P373" i="6"/>
  <c r="Q373" i="6"/>
  <c r="R373" i="6"/>
  <c r="S373" i="6"/>
  <c r="T373" i="6"/>
  <c r="U373" i="6"/>
  <c r="V373" i="6"/>
  <c r="W373" i="6"/>
  <c r="X373" i="6"/>
  <c r="Y373" i="6"/>
  <c r="Z373" i="6"/>
  <c r="AA373" i="6"/>
  <c r="AB373" i="6"/>
  <c r="AC373" i="6"/>
  <c r="AD373" i="6"/>
  <c r="AE373" i="6" s="1"/>
  <c r="AF373" i="6" s="1"/>
  <c r="AG373" i="6" s="1"/>
  <c r="AH373" i="6" s="1"/>
  <c r="AI373" i="6" s="1"/>
  <c r="AJ373" i="6" s="1"/>
  <c r="AK373" i="6" s="1"/>
  <c r="D372" i="6"/>
  <c r="E372" i="6"/>
  <c r="F372" i="6"/>
  <c r="G372" i="6"/>
  <c r="H372" i="6"/>
  <c r="I372" i="6"/>
  <c r="J372" i="6"/>
  <c r="K372" i="6"/>
  <c r="L372" i="6"/>
  <c r="M372" i="6"/>
  <c r="N372" i="6"/>
  <c r="O372" i="6"/>
  <c r="P372" i="6"/>
  <c r="Q372" i="6"/>
  <c r="R372" i="6"/>
  <c r="S372" i="6"/>
  <c r="T372" i="6"/>
  <c r="U372" i="6"/>
  <c r="V372" i="6"/>
  <c r="W372" i="6"/>
  <c r="X372" i="6"/>
  <c r="Y372" i="6"/>
  <c r="Z372" i="6"/>
  <c r="AA372" i="6"/>
  <c r="AB372" i="6"/>
  <c r="AC372" i="6"/>
  <c r="AD372" i="6"/>
  <c r="AE372" i="6"/>
  <c r="AF372" i="6"/>
  <c r="AG372" i="6"/>
  <c r="AH372" i="6"/>
  <c r="AI372" i="6"/>
  <c r="AJ372" i="6"/>
  <c r="AK372" i="6"/>
  <c r="D371" i="6"/>
  <c r="E371" i="6"/>
  <c r="F371" i="6"/>
  <c r="G371" i="6"/>
  <c r="H371" i="6"/>
  <c r="I371" i="6"/>
  <c r="J371" i="6"/>
  <c r="K371" i="6"/>
  <c r="L371" i="6"/>
  <c r="M371" i="6"/>
  <c r="N371" i="6"/>
  <c r="O371" i="6"/>
  <c r="P371" i="6"/>
  <c r="Q371" i="6"/>
  <c r="R371" i="6"/>
  <c r="S371" i="6"/>
  <c r="T371" i="6"/>
  <c r="U371" i="6"/>
  <c r="V371" i="6"/>
  <c r="W371" i="6"/>
  <c r="X371" i="6"/>
  <c r="Y371" i="6"/>
  <c r="Z371" i="6"/>
  <c r="AA371" i="6"/>
  <c r="AB371" i="6"/>
  <c r="AC371" i="6"/>
  <c r="AD371" i="6"/>
  <c r="AE371" i="6"/>
  <c r="AF371" i="6"/>
  <c r="AG371" i="6"/>
  <c r="AH371" i="6"/>
  <c r="AI371" i="6"/>
  <c r="AJ371" i="6"/>
  <c r="AK371" i="6"/>
  <c r="D370" i="6"/>
  <c r="E370" i="6"/>
  <c r="F370" i="6"/>
  <c r="G370" i="6"/>
  <c r="H370" i="6"/>
  <c r="I370" i="6"/>
  <c r="J370" i="6"/>
  <c r="K370" i="6"/>
  <c r="L370" i="6"/>
  <c r="M370" i="6"/>
  <c r="N370" i="6"/>
  <c r="O370" i="6"/>
  <c r="P370" i="6"/>
  <c r="Q370" i="6"/>
  <c r="R370" i="6"/>
  <c r="S370" i="6"/>
  <c r="T370" i="6"/>
  <c r="U370" i="6"/>
  <c r="V370" i="6"/>
  <c r="W370" i="6"/>
  <c r="X370" i="6"/>
  <c r="Y370" i="6"/>
  <c r="Z370" i="6"/>
  <c r="AA370" i="6"/>
  <c r="AB370" i="6"/>
  <c r="AC370" i="6"/>
  <c r="AD370" i="6"/>
  <c r="AE370" i="6"/>
  <c r="AF370" i="6"/>
  <c r="AG370" i="6"/>
  <c r="AH370" i="6"/>
  <c r="AI370" i="6"/>
  <c r="AJ370" i="6"/>
  <c r="AK370" i="6"/>
  <c r="D369" i="6"/>
  <c r="E369" i="6"/>
  <c r="F369" i="6"/>
  <c r="G369" i="6"/>
  <c r="H369" i="6"/>
  <c r="I369" i="6"/>
  <c r="J369" i="6"/>
  <c r="K369" i="6"/>
  <c r="L369" i="6"/>
  <c r="M369" i="6"/>
  <c r="N369" i="6"/>
  <c r="O369" i="6"/>
  <c r="P369" i="6"/>
  <c r="Q369" i="6"/>
  <c r="R369" i="6"/>
  <c r="S369" i="6"/>
  <c r="T369" i="6"/>
  <c r="U369" i="6"/>
  <c r="V369" i="6"/>
  <c r="W369" i="6"/>
  <c r="X369" i="6"/>
  <c r="Y369" i="6"/>
  <c r="Z369" i="6"/>
  <c r="AA369" i="6"/>
  <c r="AB369" i="6"/>
  <c r="AC369" i="6"/>
  <c r="AD369" i="6"/>
  <c r="AE369" i="6"/>
  <c r="AF369" i="6"/>
  <c r="AG369" i="6"/>
  <c r="AH369" i="6"/>
  <c r="AI369" i="6"/>
  <c r="AJ369" i="6"/>
  <c r="AK369" i="6"/>
  <c r="D368" i="6"/>
  <c r="E368" i="6"/>
  <c r="F368" i="6"/>
  <c r="G368" i="6"/>
  <c r="H368" i="6"/>
  <c r="I368" i="6"/>
  <c r="J368" i="6"/>
  <c r="K368" i="6"/>
  <c r="L368" i="6"/>
  <c r="M368" i="6"/>
  <c r="N368" i="6"/>
  <c r="O368" i="6"/>
  <c r="P368" i="6"/>
  <c r="Q368" i="6"/>
  <c r="R368" i="6"/>
  <c r="S368" i="6"/>
  <c r="T368" i="6"/>
  <c r="U368" i="6"/>
  <c r="V368" i="6"/>
  <c r="W368" i="6"/>
  <c r="X368" i="6"/>
  <c r="Y368" i="6"/>
  <c r="Z368" i="6"/>
  <c r="AA368" i="6"/>
  <c r="AB368" i="6"/>
  <c r="AC368" i="6"/>
  <c r="AD368" i="6"/>
  <c r="AE368" i="6"/>
  <c r="AF368" i="6"/>
  <c r="AG368" i="6"/>
  <c r="AH368" i="6"/>
  <c r="AI368" i="6"/>
  <c r="AJ368" i="6"/>
  <c r="AK368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P367" i="6"/>
  <c r="Q367" i="6"/>
  <c r="R367" i="6"/>
  <c r="S367" i="6"/>
  <c r="T367" i="6"/>
  <c r="U367" i="6"/>
  <c r="V367" i="6"/>
  <c r="W367" i="6"/>
  <c r="X367" i="6"/>
  <c r="Y367" i="6"/>
  <c r="Z367" i="6"/>
  <c r="AA367" i="6"/>
  <c r="AB367" i="6"/>
  <c r="AC367" i="6"/>
  <c r="AD367" i="6"/>
  <c r="AE367" i="6"/>
  <c r="AF367" i="6"/>
  <c r="AG367" i="6"/>
  <c r="AH367" i="6"/>
  <c r="AI367" i="6"/>
  <c r="AJ367" i="6"/>
  <c r="AK367" i="6"/>
  <c r="D366" i="6"/>
  <c r="E366" i="6"/>
  <c r="F366" i="6"/>
  <c r="G366" i="6"/>
  <c r="H366" i="6"/>
  <c r="I366" i="6"/>
  <c r="J366" i="6"/>
  <c r="K366" i="6"/>
  <c r="L366" i="6"/>
  <c r="M366" i="6"/>
  <c r="N366" i="6"/>
  <c r="O366" i="6"/>
  <c r="P366" i="6"/>
  <c r="Q366" i="6"/>
  <c r="R366" i="6"/>
  <c r="S366" i="6"/>
  <c r="T366" i="6"/>
  <c r="U366" i="6"/>
  <c r="V366" i="6"/>
  <c r="W366" i="6"/>
  <c r="X366" i="6"/>
  <c r="Y366" i="6"/>
  <c r="Z366" i="6"/>
  <c r="AA366" i="6"/>
  <c r="AB366" i="6"/>
  <c r="AC366" i="6"/>
  <c r="AD366" i="6"/>
  <c r="AE366" i="6"/>
  <c r="AF366" i="6"/>
  <c r="AG366" i="6"/>
  <c r="AH366" i="6"/>
  <c r="AI366" i="6"/>
  <c r="AJ366" i="6"/>
  <c r="AK366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P365" i="6"/>
  <c r="Q365" i="6"/>
  <c r="R365" i="6"/>
  <c r="S365" i="6"/>
  <c r="T365" i="6"/>
  <c r="U365" i="6"/>
  <c r="V365" i="6"/>
  <c r="W365" i="6"/>
  <c r="X365" i="6"/>
  <c r="Y365" i="6"/>
  <c r="Z365" i="6"/>
  <c r="AA365" i="6"/>
  <c r="AB365" i="6"/>
  <c r="AC365" i="6"/>
  <c r="AD365" i="6"/>
  <c r="AE365" i="6"/>
  <c r="AF365" i="6"/>
  <c r="AG365" i="6"/>
  <c r="AH365" i="6"/>
  <c r="AI365" i="6"/>
  <c r="AJ365" i="6"/>
  <c r="AK365" i="6"/>
  <c r="D364" i="6"/>
  <c r="E364" i="6"/>
  <c r="F364" i="6"/>
  <c r="G364" i="6"/>
  <c r="H364" i="6"/>
  <c r="I364" i="6"/>
  <c r="J364" i="6" s="1"/>
  <c r="K364" i="6" s="1"/>
  <c r="L364" i="6" s="1"/>
  <c r="M364" i="6" s="1"/>
  <c r="N364" i="6" s="1"/>
  <c r="O364" i="6" s="1"/>
  <c r="P364" i="6" s="1"/>
  <c r="Q364" i="6" s="1"/>
  <c r="R364" i="6" s="1"/>
  <c r="S364" i="6" s="1"/>
  <c r="T364" i="6" s="1"/>
  <c r="U364" i="6" s="1"/>
  <c r="V364" i="6" s="1"/>
  <c r="W364" i="6" s="1"/>
  <c r="X364" i="6" s="1"/>
  <c r="Y364" i="6" s="1"/>
  <c r="Z364" i="6" s="1"/>
  <c r="AA364" i="6" s="1"/>
  <c r="AB364" i="6" s="1"/>
  <c r="AC364" i="6" s="1"/>
  <c r="AD364" i="6" s="1"/>
  <c r="AE364" i="6" s="1"/>
  <c r="AF364" i="6" s="1"/>
  <c r="AG364" i="6" s="1"/>
  <c r="AH364" i="6" s="1"/>
  <c r="AI364" i="6" s="1"/>
  <c r="AJ364" i="6" s="1"/>
  <c r="AK364" i="6" s="1"/>
  <c r="D363" i="6"/>
  <c r="E363" i="6"/>
  <c r="F363" i="6"/>
  <c r="G363" i="6" s="1"/>
  <c r="H363" i="6" s="1"/>
  <c r="I363" i="6" s="1"/>
  <c r="J363" i="6" s="1"/>
  <c r="K363" i="6" s="1"/>
  <c r="L363" i="6" s="1"/>
  <c r="M363" i="6" s="1"/>
  <c r="N363" i="6" s="1"/>
  <c r="O363" i="6" s="1"/>
  <c r="P363" i="6" s="1"/>
  <c r="Q363" i="6" s="1"/>
  <c r="R363" i="6" s="1"/>
  <c r="S363" i="6" s="1"/>
  <c r="T363" i="6" s="1"/>
  <c r="U363" i="6" s="1"/>
  <c r="V363" i="6" s="1"/>
  <c r="W363" i="6" s="1"/>
  <c r="X363" i="6" s="1"/>
  <c r="Y363" i="6" s="1"/>
  <c r="Z363" i="6" s="1"/>
  <c r="AA363" i="6" s="1"/>
  <c r="AB363" i="6" s="1"/>
  <c r="AC363" i="6" s="1"/>
  <c r="AD363" i="6" s="1"/>
  <c r="AE363" i="6" s="1"/>
  <c r="AF363" i="6" s="1"/>
  <c r="AG363" i="6" s="1"/>
  <c r="AH363" i="6" s="1"/>
  <c r="AI363" i="6" s="1"/>
  <c r="AJ363" i="6" s="1"/>
  <c r="AK363" i="6" s="1"/>
  <c r="D362" i="6"/>
  <c r="E362" i="6"/>
  <c r="F362" i="6"/>
  <c r="G362" i="6"/>
  <c r="H362" i="6" s="1"/>
  <c r="I362" i="6" s="1"/>
  <c r="J362" i="6" s="1"/>
  <c r="K362" i="6" s="1"/>
  <c r="L362" i="6" s="1"/>
  <c r="M362" i="6" s="1"/>
  <c r="N362" i="6" s="1"/>
  <c r="O362" i="6" s="1"/>
  <c r="P362" i="6" s="1"/>
  <c r="Q362" i="6" s="1"/>
  <c r="R362" i="6" s="1"/>
  <c r="S362" i="6" s="1"/>
  <c r="T362" i="6" s="1"/>
  <c r="U362" i="6" s="1"/>
  <c r="V362" i="6" s="1"/>
  <c r="W362" i="6" s="1"/>
  <c r="X362" i="6" s="1"/>
  <c r="Y362" i="6" s="1"/>
  <c r="Z362" i="6" s="1"/>
  <c r="AA362" i="6" s="1"/>
  <c r="AB362" i="6" s="1"/>
  <c r="AC362" i="6" s="1"/>
  <c r="AD362" i="6" s="1"/>
  <c r="AE362" i="6" s="1"/>
  <c r="AF362" i="6" s="1"/>
  <c r="AG362" i="6" s="1"/>
  <c r="AH362" i="6" s="1"/>
  <c r="AI362" i="6" s="1"/>
  <c r="AJ362" i="6" s="1"/>
  <c r="AK362" i="6" s="1"/>
  <c r="D361" i="6"/>
  <c r="E361" i="6"/>
  <c r="F361" i="6"/>
  <c r="G361" i="6"/>
  <c r="H361" i="6"/>
  <c r="I361" i="6"/>
  <c r="J361" i="6"/>
  <c r="K361" i="6"/>
  <c r="L361" i="6"/>
  <c r="M361" i="6"/>
  <c r="N361" i="6"/>
  <c r="O361" i="6"/>
  <c r="P361" i="6"/>
  <c r="Q361" i="6"/>
  <c r="R361" i="6"/>
  <c r="S361" i="6"/>
  <c r="T361" i="6"/>
  <c r="U361" i="6"/>
  <c r="V361" i="6"/>
  <c r="W361" i="6"/>
  <c r="X361" i="6"/>
  <c r="Y361" i="6"/>
  <c r="Z361" i="6"/>
  <c r="AA361" i="6"/>
  <c r="AB361" i="6"/>
  <c r="AC361" i="6"/>
  <c r="AD361" i="6"/>
  <c r="AE361" i="6"/>
  <c r="AF361" i="6"/>
  <c r="AG361" i="6"/>
  <c r="AH361" i="6"/>
  <c r="AI361" i="6"/>
  <c r="AJ361" i="6"/>
  <c r="AK361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P360" i="6"/>
  <c r="Q360" i="6"/>
  <c r="R360" i="6"/>
  <c r="S360" i="6"/>
  <c r="T360" i="6"/>
  <c r="U360" i="6"/>
  <c r="V360" i="6"/>
  <c r="W360" i="6"/>
  <c r="X360" i="6"/>
  <c r="Y360" i="6"/>
  <c r="Z360" i="6"/>
  <c r="AA360" i="6"/>
  <c r="AB360" i="6"/>
  <c r="AC360" i="6"/>
  <c r="AD360" i="6"/>
  <c r="AE360" i="6"/>
  <c r="AF360" i="6"/>
  <c r="AG360" i="6"/>
  <c r="AH360" i="6"/>
  <c r="AI360" i="6"/>
  <c r="AJ360" i="6"/>
  <c r="AK360" i="6"/>
  <c r="D359" i="6"/>
  <c r="E359" i="6"/>
  <c r="F359" i="6"/>
  <c r="G359" i="6" s="1"/>
  <c r="H359" i="6" s="1"/>
  <c r="I359" i="6" s="1"/>
  <c r="J359" i="6" s="1"/>
  <c r="K359" i="6" s="1"/>
  <c r="L359" i="6" s="1"/>
  <c r="M359" i="6" s="1"/>
  <c r="N359" i="6" s="1"/>
  <c r="O359" i="6" s="1"/>
  <c r="P359" i="6" s="1"/>
  <c r="Q359" i="6" s="1"/>
  <c r="R359" i="6" s="1"/>
  <c r="S359" i="6" s="1"/>
  <c r="T359" i="6" s="1"/>
  <c r="U359" i="6" s="1"/>
  <c r="V359" i="6" s="1"/>
  <c r="W359" i="6" s="1"/>
  <c r="X359" i="6" s="1"/>
  <c r="Y359" i="6" s="1"/>
  <c r="Z359" i="6" s="1"/>
  <c r="AA359" i="6" s="1"/>
  <c r="AB359" i="6" s="1"/>
  <c r="AC359" i="6" s="1"/>
  <c r="AD359" i="6" s="1"/>
  <c r="AE359" i="6" s="1"/>
  <c r="AF359" i="6" s="1"/>
  <c r="AG359" i="6" s="1"/>
  <c r="AH359" i="6" s="1"/>
  <c r="AI359" i="6" s="1"/>
  <c r="AJ359" i="6" s="1"/>
  <c r="AK359" i="6" s="1"/>
  <c r="D358" i="6"/>
  <c r="E358" i="6"/>
  <c r="F358" i="6"/>
  <c r="G358" i="6"/>
  <c r="H358" i="6"/>
  <c r="I358" i="6"/>
  <c r="J358" i="6"/>
  <c r="K358" i="6"/>
  <c r="L358" i="6"/>
  <c r="M358" i="6"/>
  <c r="N358" i="6"/>
  <c r="O358" i="6"/>
  <c r="P358" i="6"/>
  <c r="Q358" i="6"/>
  <c r="R358" i="6"/>
  <c r="S358" i="6"/>
  <c r="T358" i="6"/>
  <c r="U358" i="6"/>
  <c r="V358" i="6"/>
  <c r="W358" i="6"/>
  <c r="X358" i="6"/>
  <c r="Y358" i="6"/>
  <c r="Z358" i="6"/>
  <c r="AA358" i="6"/>
  <c r="AB358" i="6" s="1"/>
  <c r="AC358" i="6" s="1"/>
  <c r="AD358" i="6" s="1"/>
  <c r="AE358" i="6" s="1"/>
  <c r="AF358" i="6" s="1"/>
  <c r="AG358" i="6" s="1"/>
  <c r="AH358" i="6" s="1"/>
  <c r="AI358" i="6" s="1"/>
  <c r="AJ358" i="6" s="1"/>
  <c r="AK358" i="6" s="1"/>
  <c r="D357" i="6"/>
  <c r="E357" i="6" s="1"/>
  <c r="F357" i="6" s="1"/>
  <c r="G357" i="6" s="1"/>
  <c r="H357" i="6" s="1"/>
  <c r="I357" i="6" s="1"/>
  <c r="J357" i="6" s="1"/>
  <c r="K357" i="6" s="1"/>
  <c r="L357" i="6" s="1"/>
  <c r="M357" i="6" s="1"/>
  <c r="N357" i="6" s="1"/>
  <c r="O357" i="6" s="1"/>
  <c r="P357" i="6" s="1"/>
  <c r="Q357" i="6" s="1"/>
  <c r="R357" i="6" s="1"/>
  <c r="S357" i="6" s="1"/>
  <c r="T357" i="6" s="1"/>
  <c r="U357" i="6" s="1"/>
  <c r="V357" i="6" s="1"/>
  <c r="W357" i="6" s="1"/>
  <c r="X357" i="6" s="1"/>
  <c r="Y357" i="6" s="1"/>
  <c r="Z357" i="6" s="1"/>
  <c r="AA357" i="6" s="1"/>
  <c r="AB357" i="6" s="1"/>
  <c r="AC357" i="6" s="1"/>
  <c r="AD357" i="6" s="1"/>
  <c r="AE357" i="6" s="1"/>
  <c r="AF357" i="6" s="1"/>
  <c r="AG357" i="6" s="1"/>
  <c r="AH357" i="6" s="1"/>
  <c r="AI357" i="6" s="1"/>
  <c r="AJ357" i="6" s="1"/>
  <c r="AK357" i="6" s="1"/>
  <c r="D356" i="6"/>
  <c r="E356" i="6" s="1"/>
  <c r="F356" i="6" s="1"/>
  <c r="G356" i="6" s="1"/>
  <c r="H356" i="6" s="1"/>
  <c r="I356" i="6" s="1"/>
  <c r="J356" i="6" s="1"/>
  <c r="K356" i="6" s="1"/>
  <c r="L356" i="6" s="1"/>
  <c r="M356" i="6" s="1"/>
  <c r="N356" i="6" s="1"/>
  <c r="O356" i="6" s="1"/>
  <c r="P356" i="6" s="1"/>
  <c r="Q356" i="6" s="1"/>
  <c r="R356" i="6" s="1"/>
  <c r="S356" i="6" s="1"/>
  <c r="T356" i="6" s="1"/>
  <c r="U356" i="6" s="1"/>
  <c r="V356" i="6" s="1"/>
  <c r="W356" i="6" s="1"/>
  <c r="X356" i="6" s="1"/>
  <c r="Y356" i="6" s="1"/>
  <c r="Z356" i="6" s="1"/>
  <c r="AA356" i="6" s="1"/>
  <c r="AB356" i="6" s="1"/>
  <c r="AC356" i="6" s="1"/>
  <c r="AD356" i="6" s="1"/>
  <c r="AE356" i="6" s="1"/>
  <c r="AF356" i="6" s="1"/>
  <c r="AG356" i="6" s="1"/>
  <c r="AH356" i="6" s="1"/>
  <c r="AI356" i="6" s="1"/>
  <c r="AJ356" i="6" s="1"/>
  <c r="AK356" i="6" s="1"/>
  <c r="D355" i="6"/>
  <c r="E355" i="6" s="1"/>
  <c r="F355" i="6" s="1"/>
  <c r="G355" i="6" s="1"/>
  <c r="H355" i="6" s="1"/>
  <c r="I355" i="6" s="1"/>
  <c r="J355" i="6" s="1"/>
  <c r="K355" i="6" s="1"/>
  <c r="L355" i="6" s="1"/>
  <c r="M355" i="6" s="1"/>
  <c r="N355" i="6" s="1"/>
  <c r="O355" i="6" s="1"/>
  <c r="P355" i="6" s="1"/>
  <c r="Q355" i="6" s="1"/>
  <c r="R355" i="6" s="1"/>
  <c r="S355" i="6" s="1"/>
  <c r="T355" i="6" s="1"/>
  <c r="U355" i="6" s="1"/>
  <c r="V355" i="6" s="1"/>
  <c r="W355" i="6" s="1"/>
  <c r="X355" i="6" s="1"/>
  <c r="Y355" i="6" s="1"/>
  <c r="Z355" i="6" s="1"/>
  <c r="AA355" i="6" s="1"/>
  <c r="AB355" i="6" s="1"/>
  <c r="AC355" i="6" s="1"/>
  <c r="AD355" i="6" s="1"/>
  <c r="AE355" i="6" s="1"/>
  <c r="AF355" i="6" s="1"/>
  <c r="AG355" i="6" s="1"/>
  <c r="AH355" i="6" s="1"/>
  <c r="AI355" i="6" s="1"/>
  <c r="AJ355" i="6" s="1"/>
  <c r="AK355" i="6" s="1"/>
  <c r="D354" i="6"/>
  <c r="E354" i="6" s="1"/>
  <c r="F354" i="6" s="1"/>
  <c r="G354" i="6" s="1"/>
  <c r="H354" i="6" s="1"/>
  <c r="I354" i="6" s="1"/>
  <c r="J354" i="6" s="1"/>
  <c r="K354" i="6" s="1"/>
  <c r="L354" i="6" s="1"/>
  <c r="M354" i="6" s="1"/>
  <c r="N354" i="6" s="1"/>
  <c r="O354" i="6" s="1"/>
  <c r="P354" i="6" s="1"/>
  <c r="Q354" i="6" s="1"/>
  <c r="R354" i="6" s="1"/>
  <c r="S354" i="6" s="1"/>
  <c r="T354" i="6" s="1"/>
  <c r="U354" i="6" s="1"/>
  <c r="V354" i="6" s="1"/>
  <c r="W354" i="6" s="1"/>
  <c r="X354" i="6" s="1"/>
  <c r="Y354" i="6" s="1"/>
  <c r="Z354" i="6" s="1"/>
  <c r="AA354" i="6" s="1"/>
  <c r="AB354" i="6" s="1"/>
  <c r="AC354" i="6" s="1"/>
  <c r="AD354" i="6" s="1"/>
  <c r="AE354" i="6" s="1"/>
  <c r="AF354" i="6" s="1"/>
  <c r="AG354" i="6" s="1"/>
  <c r="AH354" i="6" s="1"/>
  <c r="AI354" i="6" s="1"/>
  <c r="AJ354" i="6" s="1"/>
  <c r="AK354" i="6" s="1"/>
  <c r="D353" i="6"/>
  <c r="E353" i="6" s="1"/>
  <c r="F353" i="6" s="1"/>
  <c r="G353" i="6" s="1"/>
  <c r="H353" i="6" s="1"/>
  <c r="I353" i="6" s="1"/>
  <c r="J353" i="6" s="1"/>
  <c r="K353" i="6" s="1"/>
  <c r="L353" i="6" s="1"/>
  <c r="M353" i="6" s="1"/>
  <c r="N353" i="6" s="1"/>
  <c r="O353" i="6" s="1"/>
  <c r="P353" i="6" s="1"/>
  <c r="Q353" i="6" s="1"/>
  <c r="R353" i="6" s="1"/>
  <c r="S353" i="6" s="1"/>
  <c r="T353" i="6" s="1"/>
  <c r="U353" i="6" s="1"/>
  <c r="V353" i="6" s="1"/>
  <c r="W353" i="6" s="1"/>
  <c r="X353" i="6" s="1"/>
  <c r="Y353" i="6" s="1"/>
  <c r="Z353" i="6" s="1"/>
  <c r="AA353" i="6" s="1"/>
  <c r="AB353" i="6" s="1"/>
  <c r="AC353" i="6" s="1"/>
  <c r="AD353" i="6" s="1"/>
  <c r="AE353" i="6" s="1"/>
  <c r="AF353" i="6" s="1"/>
  <c r="AG353" i="6" s="1"/>
  <c r="AH353" i="6" s="1"/>
  <c r="AI353" i="6" s="1"/>
  <c r="AJ353" i="6" s="1"/>
  <c r="AK353" i="6" s="1"/>
  <c r="D352" i="6"/>
  <c r="E352" i="6" s="1"/>
  <c r="F352" i="6" s="1"/>
  <c r="G352" i="6" s="1"/>
  <c r="H352" i="6" s="1"/>
  <c r="I352" i="6" s="1"/>
  <c r="J352" i="6" s="1"/>
  <c r="K352" i="6" s="1"/>
  <c r="L352" i="6" s="1"/>
  <c r="M352" i="6" s="1"/>
  <c r="N352" i="6" s="1"/>
  <c r="O352" i="6" s="1"/>
  <c r="P352" i="6" s="1"/>
  <c r="Q352" i="6" s="1"/>
  <c r="R352" i="6" s="1"/>
  <c r="S352" i="6" s="1"/>
  <c r="T352" i="6" s="1"/>
  <c r="U352" i="6" s="1"/>
  <c r="V352" i="6" s="1"/>
  <c r="W352" i="6" s="1"/>
  <c r="X352" i="6" s="1"/>
  <c r="Y352" i="6" s="1"/>
  <c r="Z352" i="6" s="1"/>
  <c r="AA352" i="6" s="1"/>
  <c r="AB352" i="6" s="1"/>
  <c r="AC352" i="6" s="1"/>
  <c r="AD352" i="6" s="1"/>
  <c r="AE352" i="6" s="1"/>
  <c r="AF352" i="6" s="1"/>
  <c r="AG352" i="6" s="1"/>
  <c r="AH352" i="6" s="1"/>
  <c r="AI352" i="6" s="1"/>
  <c r="AJ352" i="6" s="1"/>
  <c r="AK352" i="6" s="1"/>
  <c r="D351" i="6"/>
  <c r="E351" i="6" s="1"/>
  <c r="F351" i="6" s="1"/>
  <c r="G351" i="6" s="1"/>
  <c r="H351" i="6" s="1"/>
  <c r="I351" i="6" s="1"/>
  <c r="J351" i="6" s="1"/>
  <c r="K351" i="6" s="1"/>
  <c r="L351" i="6" s="1"/>
  <c r="M351" i="6" s="1"/>
  <c r="N351" i="6" s="1"/>
  <c r="O351" i="6" s="1"/>
  <c r="P351" i="6" s="1"/>
  <c r="Q351" i="6" s="1"/>
  <c r="R351" i="6" s="1"/>
  <c r="S351" i="6" s="1"/>
  <c r="T351" i="6" s="1"/>
  <c r="U351" i="6" s="1"/>
  <c r="V351" i="6" s="1"/>
  <c r="W351" i="6" s="1"/>
  <c r="X351" i="6" s="1"/>
  <c r="Y351" i="6" s="1"/>
  <c r="Z351" i="6" s="1"/>
  <c r="AA351" i="6" s="1"/>
  <c r="AB351" i="6" s="1"/>
  <c r="AC351" i="6" s="1"/>
  <c r="AD351" i="6" s="1"/>
  <c r="AE351" i="6" s="1"/>
  <c r="AF351" i="6" s="1"/>
  <c r="AG351" i="6" s="1"/>
  <c r="AH351" i="6" s="1"/>
  <c r="AI351" i="6" s="1"/>
  <c r="AJ351" i="6" s="1"/>
  <c r="AK351" i="6" s="1"/>
  <c r="D350" i="6"/>
  <c r="E350" i="6" s="1"/>
  <c r="F350" i="6" s="1"/>
  <c r="G350" i="6" s="1"/>
  <c r="H350" i="6" s="1"/>
  <c r="I350" i="6" s="1"/>
  <c r="J350" i="6" s="1"/>
  <c r="K350" i="6" s="1"/>
  <c r="L350" i="6" s="1"/>
  <c r="M350" i="6" s="1"/>
  <c r="N350" i="6" s="1"/>
  <c r="O350" i="6" s="1"/>
  <c r="P350" i="6" s="1"/>
  <c r="Q350" i="6" s="1"/>
  <c r="R350" i="6" s="1"/>
  <c r="S350" i="6" s="1"/>
  <c r="T350" i="6" s="1"/>
  <c r="U350" i="6" s="1"/>
  <c r="V350" i="6" s="1"/>
  <c r="W350" i="6" s="1"/>
  <c r="X350" i="6" s="1"/>
  <c r="Y350" i="6" s="1"/>
  <c r="Z350" i="6" s="1"/>
  <c r="AA350" i="6" s="1"/>
  <c r="AB350" i="6" s="1"/>
  <c r="AC350" i="6" s="1"/>
  <c r="AD350" i="6" s="1"/>
  <c r="AE350" i="6" s="1"/>
  <c r="AF350" i="6" s="1"/>
  <c r="AG350" i="6" s="1"/>
  <c r="AH350" i="6" s="1"/>
  <c r="AI350" i="6" s="1"/>
  <c r="AJ350" i="6" s="1"/>
  <c r="AK350" i="6" s="1"/>
  <c r="D349" i="6"/>
  <c r="E349" i="6" s="1"/>
  <c r="F349" i="6" s="1"/>
  <c r="G349" i="6" s="1"/>
  <c r="H349" i="6" s="1"/>
  <c r="I349" i="6" s="1"/>
  <c r="J349" i="6" s="1"/>
  <c r="K349" i="6" s="1"/>
  <c r="L349" i="6" s="1"/>
  <c r="M349" i="6" s="1"/>
  <c r="N349" i="6" s="1"/>
  <c r="O349" i="6" s="1"/>
  <c r="P349" i="6" s="1"/>
  <c r="Q349" i="6" s="1"/>
  <c r="R349" i="6" s="1"/>
  <c r="S349" i="6" s="1"/>
  <c r="T349" i="6" s="1"/>
  <c r="U349" i="6" s="1"/>
  <c r="V349" i="6" s="1"/>
  <c r="W349" i="6" s="1"/>
  <c r="X349" i="6" s="1"/>
  <c r="Y349" i="6" s="1"/>
  <c r="Z349" i="6" s="1"/>
  <c r="AA349" i="6" s="1"/>
  <c r="AB349" i="6" s="1"/>
  <c r="AC349" i="6" s="1"/>
  <c r="AD349" i="6" s="1"/>
  <c r="AE349" i="6" s="1"/>
  <c r="AF349" i="6" s="1"/>
  <c r="AG349" i="6" s="1"/>
  <c r="AH349" i="6" s="1"/>
  <c r="AI349" i="6" s="1"/>
  <c r="AJ349" i="6" s="1"/>
  <c r="AK349" i="6" s="1"/>
  <c r="D348" i="6"/>
  <c r="E348" i="6" s="1"/>
  <c r="F348" i="6" s="1"/>
  <c r="G348" i="6" s="1"/>
  <c r="H348" i="6" s="1"/>
  <c r="I348" i="6" s="1"/>
  <c r="J348" i="6" s="1"/>
  <c r="K348" i="6" s="1"/>
  <c r="L348" i="6" s="1"/>
  <c r="M348" i="6" s="1"/>
  <c r="N348" i="6" s="1"/>
  <c r="O348" i="6" s="1"/>
  <c r="P348" i="6" s="1"/>
  <c r="Q348" i="6" s="1"/>
  <c r="R348" i="6" s="1"/>
  <c r="S348" i="6" s="1"/>
  <c r="T348" i="6" s="1"/>
  <c r="U348" i="6" s="1"/>
  <c r="V348" i="6" s="1"/>
  <c r="W348" i="6" s="1"/>
  <c r="X348" i="6" s="1"/>
  <c r="Y348" i="6" s="1"/>
  <c r="Z348" i="6" s="1"/>
  <c r="AA348" i="6" s="1"/>
  <c r="AB348" i="6" s="1"/>
  <c r="AC348" i="6" s="1"/>
  <c r="AD348" i="6" s="1"/>
  <c r="AE348" i="6" s="1"/>
  <c r="AF348" i="6" s="1"/>
  <c r="AG348" i="6" s="1"/>
  <c r="AH348" i="6" s="1"/>
  <c r="AI348" i="6" s="1"/>
  <c r="AJ348" i="6" s="1"/>
  <c r="AK348" i="6" s="1"/>
  <c r="D347" i="6"/>
  <c r="E347" i="6" s="1"/>
  <c r="F347" i="6" s="1"/>
  <c r="G347" i="6" s="1"/>
  <c r="H347" i="6" s="1"/>
  <c r="I347" i="6" s="1"/>
  <c r="J347" i="6" s="1"/>
  <c r="K347" i="6" s="1"/>
  <c r="L347" i="6" s="1"/>
  <c r="M347" i="6" s="1"/>
  <c r="N347" i="6" s="1"/>
  <c r="O347" i="6" s="1"/>
  <c r="P347" i="6" s="1"/>
  <c r="Q347" i="6" s="1"/>
  <c r="R347" i="6" s="1"/>
  <c r="S347" i="6" s="1"/>
  <c r="T347" i="6" s="1"/>
  <c r="U347" i="6" s="1"/>
  <c r="V347" i="6" s="1"/>
  <c r="W347" i="6" s="1"/>
  <c r="X347" i="6" s="1"/>
  <c r="Y347" i="6" s="1"/>
  <c r="Z347" i="6" s="1"/>
  <c r="AA347" i="6" s="1"/>
  <c r="AB347" i="6" s="1"/>
  <c r="AC347" i="6" s="1"/>
  <c r="AD347" i="6" s="1"/>
  <c r="AE347" i="6" s="1"/>
  <c r="AF347" i="6" s="1"/>
  <c r="AG347" i="6" s="1"/>
  <c r="AH347" i="6" s="1"/>
  <c r="AI347" i="6" s="1"/>
  <c r="AJ347" i="6" s="1"/>
  <c r="AK347" i="6" s="1"/>
  <c r="D346" i="6"/>
  <c r="E346" i="6" s="1"/>
  <c r="F346" i="6" s="1"/>
  <c r="G346" i="6" s="1"/>
  <c r="H346" i="6" s="1"/>
  <c r="I346" i="6" s="1"/>
  <c r="J346" i="6" s="1"/>
  <c r="K346" i="6" s="1"/>
  <c r="L346" i="6" s="1"/>
  <c r="M346" i="6" s="1"/>
  <c r="N346" i="6" s="1"/>
  <c r="O346" i="6" s="1"/>
  <c r="P346" i="6" s="1"/>
  <c r="Q346" i="6" s="1"/>
  <c r="R346" i="6" s="1"/>
  <c r="S346" i="6" s="1"/>
  <c r="T346" i="6" s="1"/>
  <c r="U346" i="6" s="1"/>
  <c r="V346" i="6" s="1"/>
  <c r="W346" i="6" s="1"/>
  <c r="X346" i="6" s="1"/>
  <c r="Y346" i="6" s="1"/>
  <c r="Z346" i="6" s="1"/>
  <c r="AA346" i="6" s="1"/>
  <c r="AB346" i="6" s="1"/>
  <c r="AC346" i="6" s="1"/>
  <c r="AD346" i="6" s="1"/>
  <c r="AE346" i="6" s="1"/>
  <c r="AF346" i="6" s="1"/>
  <c r="AG346" i="6" s="1"/>
  <c r="AH346" i="6" s="1"/>
  <c r="AI346" i="6" s="1"/>
  <c r="AJ346" i="6" s="1"/>
  <c r="AK346" i="6" s="1"/>
  <c r="D345" i="6"/>
  <c r="E345" i="6" s="1"/>
  <c r="F345" i="6" s="1"/>
  <c r="G345" i="6" s="1"/>
  <c r="H345" i="6" s="1"/>
  <c r="I345" i="6" s="1"/>
  <c r="J345" i="6" s="1"/>
  <c r="K345" i="6" s="1"/>
  <c r="L345" i="6" s="1"/>
  <c r="M345" i="6" s="1"/>
  <c r="N345" i="6" s="1"/>
  <c r="O345" i="6" s="1"/>
  <c r="P345" i="6" s="1"/>
  <c r="Q345" i="6" s="1"/>
  <c r="R345" i="6" s="1"/>
  <c r="S345" i="6" s="1"/>
  <c r="T345" i="6" s="1"/>
  <c r="U345" i="6" s="1"/>
  <c r="V345" i="6" s="1"/>
  <c r="W345" i="6" s="1"/>
  <c r="X345" i="6" s="1"/>
  <c r="Y345" i="6" s="1"/>
  <c r="Z345" i="6" s="1"/>
  <c r="AA345" i="6" s="1"/>
  <c r="AB345" i="6" s="1"/>
  <c r="AC345" i="6" s="1"/>
  <c r="AD345" i="6" s="1"/>
  <c r="AE345" i="6" s="1"/>
  <c r="AF345" i="6" s="1"/>
  <c r="AG345" i="6" s="1"/>
  <c r="AH345" i="6" s="1"/>
  <c r="AI345" i="6" s="1"/>
  <c r="AJ345" i="6" s="1"/>
  <c r="AK345" i="6" s="1"/>
  <c r="D344" i="6"/>
  <c r="E344" i="6" s="1"/>
  <c r="F344" i="6" s="1"/>
  <c r="G344" i="6" s="1"/>
  <c r="H344" i="6" s="1"/>
  <c r="I344" i="6" s="1"/>
  <c r="J344" i="6" s="1"/>
  <c r="K344" i="6" s="1"/>
  <c r="L344" i="6" s="1"/>
  <c r="M344" i="6" s="1"/>
  <c r="N344" i="6" s="1"/>
  <c r="O344" i="6" s="1"/>
  <c r="P344" i="6" s="1"/>
  <c r="Q344" i="6" s="1"/>
  <c r="R344" i="6" s="1"/>
  <c r="S344" i="6" s="1"/>
  <c r="T344" i="6" s="1"/>
  <c r="U344" i="6" s="1"/>
  <c r="V344" i="6" s="1"/>
  <c r="W344" i="6" s="1"/>
  <c r="X344" i="6" s="1"/>
  <c r="Y344" i="6" s="1"/>
  <c r="Z344" i="6" s="1"/>
  <c r="AA344" i="6" s="1"/>
  <c r="AB344" i="6" s="1"/>
  <c r="AC344" i="6" s="1"/>
  <c r="AD344" i="6" s="1"/>
  <c r="AE344" i="6" s="1"/>
  <c r="AF344" i="6" s="1"/>
  <c r="AG344" i="6" s="1"/>
  <c r="AH344" i="6" s="1"/>
  <c r="AI344" i="6" s="1"/>
  <c r="AJ344" i="6" s="1"/>
  <c r="AK344" i="6" s="1"/>
  <c r="D343" i="6"/>
  <c r="E343" i="6" s="1"/>
  <c r="F343" i="6" s="1"/>
  <c r="G343" i="6" s="1"/>
  <c r="H343" i="6" s="1"/>
  <c r="I343" i="6" s="1"/>
  <c r="J343" i="6" s="1"/>
  <c r="K343" i="6" s="1"/>
  <c r="L343" i="6" s="1"/>
  <c r="M343" i="6" s="1"/>
  <c r="N343" i="6" s="1"/>
  <c r="O343" i="6" s="1"/>
  <c r="P343" i="6" s="1"/>
  <c r="Q343" i="6" s="1"/>
  <c r="R343" i="6" s="1"/>
  <c r="S343" i="6" s="1"/>
  <c r="T343" i="6" s="1"/>
  <c r="U343" i="6" s="1"/>
  <c r="V343" i="6" s="1"/>
  <c r="W343" i="6" s="1"/>
  <c r="X343" i="6" s="1"/>
  <c r="Y343" i="6" s="1"/>
  <c r="Z343" i="6" s="1"/>
  <c r="AA343" i="6" s="1"/>
  <c r="AB343" i="6" s="1"/>
  <c r="AC343" i="6" s="1"/>
  <c r="AD343" i="6" s="1"/>
  <c r="AE343" i="6" s="1"/>
  <c r="AF343" i="6" s="1"/>
  <c r="AG343" i="6" s="1"/>
  <c r="AH343" i="6" s="1"/>
  <c r="AI343" i="6" s="1"/>
  <c r="AJ343" i="6" s="1"/>
  <c r="AK343" i="6" s="1"/>
  <c r="D342" i="6"/>
  <c r="E342" i="6" s="1"/>
  <c r="F342" i="6" s="1"/>
  <c r="G342" i="6" s="1"/>
  <c r="H342" i="6" s="1"/>
  <c r="I342" i="6" s="1"/>
  <c r="J342" i="6" s="1"/>
  <c r="K342" i="6" s="1"/>
  <c r="L342" i="6" s="1"/>
  <c r="M342" i="6" s="1"/>
  <c r="N342" i="6" s="1"/>
  <c r="O342" i="6" s="1"/>
  <c r="P342" i="6" s="1"/>
  <c r="Q342" i="6" s="1"/>
  <c r="R342" i="6" s="1"/>
  <c r="S342" i="6" s="1"/>
  <c r="T342" i="6" s="1"/>
  <c r="U342" i="6" s="1"/>
  <c r="V342" i="6" s="1"/>
  <c r="W342" i="6" s="1"/>
  <c r="X342" i="6" s="1"/>
  <c r="Y342" i="6" s="1"/>
  <c r="Z342" i="6" s="1"/>
  <c r="AA342" i="6" s="1"/>
  <c r="AB342" i="6" s="1"/>
  <c r="AC342" i="6" s="1"/>
  <c r="AD342" i="6" s="1"/>
  <c r="AE342" i="6" s="1"/>
  <c r="AF342" i="6" s="1"/>
  <c r="AG342" i="6" s="1"/>
  <c r="AH342" i="6" s="1"/>
  <c r="AI342" i="6" s="1"/>
  <c r="AJ342" i="6" s="1"/>
  <c r="AK342" i="6" s="1"/>
  <c r="D341" i="6"/>
  <c r="E341" i="6" s="1"/>
  <c r="F341" i="6" s="1"/>
  <c r="G341" i="6" s="1"/>
  <c r="H341" i="6" s="1"/>
  <c r="I341" i="6" s="1"/>
  <c r="J341" i="6" s="1"/>
  <c r="K341" i="6" s="1"/>
  <c r="L341" i="6" s="1"/>
  <c r="M341" i="6" s="1"/>
  <c r="N341" i="6" s="1"/>
  <c r="O341" i="6" s="1"/>
  <c r="P341" i="6" s="1"/>
  <c r="Q341" i="6" s="1"/>
  <c r="R341" i="6" s="1"/>
  <c r="S341" i="6" s="1"/>
  <c r="T341" i="6" s="1"/>
  <c r="U341" i="6" s="1"/>
  <c r="V341" i="6" s="1"/>
  <c r="W341" i="6" s="1"/>
  <c r="X341" i="6" s="1"/>
  <c r="Y341" i="6" s="1"/>
  <c r="Z341" i="6" s="1"/>
  <c r="AA341" i="6" s="1"/>
  <c r="AB341" i="6" s="1"/>
  <c r="AC341" i="6" s="1"/>
  <c r="AD341" i="6" s="1"/>
  <c r="AE341" i="6" s="1"/>
  <c r="AF341" i="6" s="1"/>
  <c r="AG341" i="6" s="1"/>
  <c r="AH341" i="6" s="1"/>
  <c r="AI341" i="6" s="1"/>
  <c r="AJ341" i="6" s="1"/>
  <c r="AK341" i="6" s="1"/>
  <c r="D340" i="6"/>
  <c r="E340" i="6" s="1"/>
  <c r="F340" i="6" s="1"/>
  <c r="G340" i="6" s="1"/>
  <c r="H340" i="6" s="1"/>
  <c r="I340" i="6" s="1"/>
  <c r="J340" i="6" s="1"/>
  <c r="K340" i="6" s="1"/>
  <c r="L340" i="6" s="1"/>
  <c r="M340" i="6" s="1"/>
  <c r="N340" i="6" s="1"/>
  <c r="O340" i="6" s="1"/>
  <c r="P340" i="6" s="1"/>
  <c r="Q340" i="6" s="1"/>
  <c r="R340" i="6" s="1"/>
  <c r="S340" i="6" s="1"/>
  <c r="T340" i="6" s="1"/>
  <c r="U340" i="6" s="1"/>
  <c r="V340" i="6" s="1"/>
  <c r="W340" i="6" s="1"/>
  <c r="X340" i="6" s="1"/>
  <c r="Y340" i="6" s="1"/>
  <c r="Z340" i="6" s="1"/>
  <c r="AA340" i="6" s="1"/>
  <c r="AB340" i="6" s="1"/>
  <c r="AC340" i="6" s="1"/>
  <c r="AD340" i="6" s="1"/>
  <c r="AE340" i="6" s="1"/>
  <c r="AF340" i="6" s="1"/>
  <c r="AG340" i="6" s="1"/>
  <c r="AH340" i="6" s="1"/>
  <c r="AI340" i="6" s="1"/>
  <c r="AJ340" i="6" s="1"/>
  <c r="AK340" i="6" s="1"/>
  <c r="D339" i="6"/>
  <c r="E339" i="6" s="1"/>
  <c r="F339" i="6" s="1"/>
  <c r="G339" i="6" s="1"/>
  <c r="H339" i="6" s="1"/>
  <c r="I339" i="6" s="1"/>
  <c r="J339" i="6" s="1"/>
  <c r="K339" i="6" s="1"/>
  <c r="L339" i="6" s="1"/>
  <c r="M339" i="6" s="1"/>
  <c r="N339" i="6" s="1"/>
  <c r="O339" i="6" s="1"/>
  <c r="P339" i="6" s="1"/>
  <c r="Q339" i="6" s="1"/>
  <c r="R339" i="6" s="1"/>
  <c r="S339" i="6" s="1"/>
  <c r="T339" i="6" s="1"/>
  <c r="U339" i="6" s="1"/>
  <c r="V339" i="6" s="1"/>
  <c r="W339" i="6" s="1"/>
  <c r="X339" i="6" s="1"/>
  <c r="Y339" i="6" s="1"/>
  <c r="Z339" i="6" s="1"/>
  <c r="AA339" i="6" s="1"/>
  <c r="AB339" i="6" s="1"/>
  <c r="AC339" i="6" s="1"/>
  <c r="AD339" i="6" s="1"/>
  <c r="AE339" i="6" s="1"/>
  <c r="AF339" i="6" s="1"/>
  <c r="AG339" i="6" s="1"/>
  <c r="AH339" i="6" s="1"/>
  <c r="AI339" i="6" s="1"/>
  <c r="AJ339" i="6" s="1"/>
  <c r="AK339" i="6" s="1"/>
  <c r="D338" i="6"/>
  <c r="E338" i="6" s="1"/>
  <c r="F338" i="6" s="1"/>
  <c r="G338" i="6" s="1"/>
  <c r="H338" i="6" s="1"/>
  <c r="I338" i="6" s="1"/>
  <c r="J338" i="6" s="1"/>
  <c r="K338" i="6" s="1"/>
  <c r="L338" i="6" s="1"/>
  <c r="M338" i="6" s="1"/>
  <c r="N338" i="6" s="1"/>
  <c r="O338" i="6" s="1"/>
  <c r="P338" i="6" s="1"/>
  <c r="Q338" i="6" s="1"/>
  <c r="R338" i="6" s="1"/>
  <c r="S338" i="6" s="1"/>
  <c r="T338" i="6" s="1"/>
  <c r="U338" i="6" s="1"/>
  <c r="V338" i="6" s="1"/>
  <c r="W338" i="6" s="1"/>
  <c r="X338" i="6" s="1"/>
  <c r="Y338" i="6" s="1"/>
  <c r="Z338" i="6" s="1"/>
  <c r="AA338" i="6" s="1"/>
  <c r="AB338" i="6" s="1"/>
  <c r="AC338" i="6" s="1"/>
  <c r="AD338" i="6" s="1"/>
  <c r="AE338" i="6" s="1"/>
  <c r="AF338" i="6" s="1"/>
  <c r="AG338" i="6" s="1"/>
  <c r="AH338" i="6" s="1"/>
  <c r="AI338" i="6" s="1"/>
  <c r="AJ338" i="6" s="1"/>
  <c r="AK338" i="6" s="1"/>
  <c r="D337" i="6"/>
  <c r="E337" i="6" s="1"/>
  <c r="F337" i="6" s="1"/>
  <c r="G337" i="6" s="1"/>
  <c r="H337" i="6" s="1"/>
  <c r="I337" i="6" s="1"/>
  <c r="J337" i="6" s="1"/>
  <c r="K337" i="6" s="1"/>
  <c r="L337" i="6" s="1"/>
  <c r="M337" i="6" s="1"/>
  <c r="N337" i="6" s="1"/>
  <c r="O337" i="6" s="1"/>
  <c r="P337" i="6" s="1"/>
  <c r="Q337" i="6" s="1"/>
  <c r="R337" i="6" s="1"/>
  <c r="S337" i="6" s="1"/>
  <c r="T337" i="6" s="1"/>
  <c r="U337" i="6" s="1"/>
  <c r="V337" i="6" s="1"/>
  <c r="W337" i="6" s="1"/>
  <c r="X337" i="6" s="1"/>
  <c r="Y337" i="6" s="1"/>
  <c r="Z337" i="6" s="1"/>
  <c r="AA337" i="6" s="1"/>
  <c r="AB337" i="6" s="1"/>
  <c r="AC337" i="6" s="1"/>
  <c r="AD337" i="6" s="1"/>
  <c r="AE337" i="6" s="1"/>
  <c r="AF337" i="6" s="1"/>
  <c r="AG337" i="6" s="1"/>
  <c r="AH337" i="6" s="1"/>
  <c r="AI337" i="6" s="1"/>
  <c r="AJ337" i="6" s="1"/>
  <c r="AK337" i="6" s="1"/>
  <c r="D336" i="6"/>
  <c r="E336" i="6" s="1"/>
  <c r="F336" i="6" s="1"/>
  <c r="G336" i="6" s="1"/>
  <c r="H336" i="6" s="1"/>
  <c r="I336" i="6" s="1"/>
  <c r="J336" i="6" s="1"/>
  <c r="K336" i="6" s="1"/>
  <c r="L336" i="6" s="1"/>
  <c r="M336" i="6" s="1"/>
  <c r="N336" i="6" s="1"/>
  <c r="O336" i="6" s="1"/>
  <c r="P336" i="6" s="1"/>
  <c r="Q336" i="6" s="1"/>
  <c r="R336" i="6" s="1"/>
  <c r="S336" i="6" s="1"/>
  <c r="T336" i="6" s="1"/>
  <c r="U336" i="6" s="1"/>
  <c r="V336" i="6" s="1"/>
  <c r="W336" i="6" s="1"/>
  <c r="X336" i="6" s="1"/>
  <c r="Y336" i="6" s="1"/>
  <c r="Z336" i="6" s="1"/>
  <c r="AA336" i="6" s="1"/>
  <c r="AB336" i="6" s="1"/>
  <c r="AC336" i="6" s="1"/>
  <c r="AD336" i="6" s="1"/>
  <c r="AE336" i="6" s="1"/>
  <c r="AF336" i="6" s="1"/>
  <c r="AG336" i="6" s="1"/>
  <c r="AH336" i="6" s="1"/>
  <c r="AI336" i="6" s="1"/>
  <c r="AJ336" i="6" s="1"/>
  <c r="AK336" i="6" s="1"/>
  <c r="D335" i="6"/>
  <c r="E335" i="6" s="1"/>
  <c r="F335" i="6" s="1"/>
  <c r="G335" i="6" s="1"/>
  <c r="H335" i="6" s="1"/>
  <c r="I335" i="6" s="1"/>
  <c r="J335" i="6" s="1"/>
  <c r="K335" i="6" s="1"/>
  <c r="L335" i="6" s="1"/>
  <c r="M335" i="6" s="1"/>
  <c r="N335" i="6" s="1"/>
  <c r="O335" i="6" s="1"/>
  <c r="P335" i="6" s="1"/>
  <c r="Q335" i="6" s="1"/>
  <c r="R335" i="6" s="1"/>
  <c r="S335" i="6" s="1"/>
  <c r="T335" i="6" s="1"/>
  <c r="U335" i="6" s="1"/>
  <c r="V335" i="6" s="1"/>
  <c r="W335" i="6" s="1"/>
  <c r="X335" i="6" s="1"/>
  <c r="Y335" i="6" s="1"/>
  <c r="Z335" i="6" s="1"/>
  <c r="AA335" i="6" s="1"/>
  <c r="AB335" i="6" s="1"/>
  <c r="AC335" i="6" s="1"/>
  <c r="AD335" i="6" s="1"/>
  <c r="AE335" i="6" s="1"/>
  <c r="AF335" i="6" s="1"/>
  <c r="AG335" i="6" s="1"/>
  <c r="AH335" i="6" s="1"/>
  <c r="AI335" i="6" s="1"/>
  <c r="AJ335" i="6" s="1"/>
  <c r="AK335" i="6" s="1"/>
  <c r="D334" i="6"/>
  <c r="E334" i="6" s="1"/>
  <c r="F334" i="6" s="1"/>
  <c r="G334" i="6" s="1"/>
  <c r="H334" i="6" s="1"/>
  <c r="I334" i="6" s="1"/>
  <c r="J334" i="6" s="1"/>
  <c r="K334" i="6" s="1"/>
  <c r="L334" i="6" s="1"/>
  <c r="M334" i="6" s="1"/>
  <c r="N334" i="6" s="1"/>
  <c r="O334" i="6" s="1"/>
  <c r="P334" i="6" s="1"/>
  <c r="Q334" i="6" s="1"/>
  <c r="R334" i="6" s="1"/>
  <c r="S334" i="6" s="1"/>
  <c r="T334" i="6" s="1"/>
  <c r="U334" i="6" s="1"/>
  <c r="V334" i="6" s="1"/>
  <c r="W334" i="6" s="1"/>
  <c r="X334" i="6" s="1"/>
  <c r="Y334" i="6" s="1"/>
  <c r="Z334" i="6" s="1"/>
  <c r="AA334" i="6" s="1"/>
  <c r="AB334" i="6" s="1"/>
  <c r="AC334" i="6" s="1"/>
  <c r="AD334" i="6" s="1"/>
  <c r="AE334" i="6" s="1"/>
  <c r="AF334" i="6" s="1"/>
  <c r="AG334" i="6" s="1"/>
  <c r="AH334" i="6" s="1"/>
  <c r="AI334" i="6" s="1"/>
  <c r="AJ334" i="6" s="1"/>
  <c r="AK334" i="6" s="1"/>
  <c r="D333" i="6"/>
  <c r="E333" i="6" s="1"/>
  <c r="F333" i="6" s="1"/>
  <c r="G333" i="6" s="1"/>
  <c r="H333" i="6" s="1"/>
  <c r="I333" i="6" s="1"/>
  <c r="J333" i="6" s="1"/>
  <c r="K333" i="6" s="1"/>
  <c r="L333" i="6" s="1"/>
  <c r="M333" i="6" s="1"/>
  <c r="N333" i="6" s="1"/>
  <c r="O333" i="6" s="1"/>
  <c r="P333" i="6" s="1"/>
  <c r="Q333" i="6" s="1"/>
  <c r="R333" i="6" s="1"/>
  <c r="S333" i="6" s="1"/>
  <c r="T333" i="6" s="1"/>
  <c r="U333" i="6" s="1"/>
  <c r="V333" i="6" s="1"/>
  <c r="W333" i="6" s="1"/>
  <c r="X333" i="6" s="1"/>
  <c r="Y333" i="6" s="1"/>
  <c r="Z333" i="6" s="1"/>
  <c r="AA333" i="6" s="1"/>
  <c r="AB333" i="6" s="1"/>
  <c r="AC333" i="6" s="1"/>
  <c r="AD333" i="6" s="1"/>
  <c r="AE333" i="6" s="1"/>
  <c r="AF333" i="6" s="1"/>
  <c r="AG333" i="6" s="1"/>
  <c r="AH333" i="6" s="1"/>
  <c r="AI333" i="6" s="1"/>
  <c r="AJ333" i="6" s="1"/>
  <c r="AK333" i="6" s="1"/>
  <c r="D332" i="6"/>
  <c r="E332" i="6" s="1"/>
  <c r="F332" i="6" s="1"/>
  <c r="G332" i="6" s="1"/>
  <c r="H332" i="6" s="1"/>
  <c r="I332" i="6" s="1"/>
  <c r="J332" i="6" s="1"/>
  <c r="K332" i="6" s="1"/>
  <c r="L332" i="6" s="1"/>
  <c r="M332" i="6" s="1"/>
  <c r="N332" i="6" s="1"/>
  <c r="O332" i="6" s="1"/>
  <c r="P332" i="6" s="1"/>
  <c r="Q332" i="6" s="1"/>
  <c r="R332" i="6" s="1"/>
  <c r="S332" i="6" s="1"/>
  <c r="T332" i="6" s="1"/>
  <c r="U332" i="6" s="1"/>
  <c r="V332" i="6" s="1"/>
  <c r="W332" i="6" s="1"/>
  <c r="X332" i="6" s="1"/>
  <c r="Y332" i="6" s="1"/>
  <c r="Z332" i="6" s="1"/>
  <c r="AA332" i="6" s="1"/>
  <c r="AB332" i="6" s="1"/>
  <c r="AC332" i="6" s="1"/>
  <c r="AD332" i="6" s="1"/>
  <c r="AE332" i="6" s="1"/>
  <c r="AF332" i="6" s="1"/>
  <c r="AG332" i="6" s="1"/>
  <c r="AH332" i="6" s="1"/>
  <c r="AI332" i="6" s="1"/>
  <c r="AJ332" i="6" s="1"/>
  <c r="AK332" i="6" s="1"/>
  <c r="D331" i="6"/>
  <c r="E331" i="6" s="1"/>
  <c r="F331" i="6" s="1"/>
  <c r="G331" i="6" s="1"/>
  <c r="H331" i="6" s="1"/>
  <c r="I331" i="6" s="1"/>
  <c r="J331" i="6" s="1"/>
  <c r="K331" i="6" s="1"/>
  <c r="L331" i="6" s="1"/>
  <c r="M331" i="6" s="1"/>
  <c r="N331" i="6" s="1"/>
  <c r="O331" i="6" s="1"/>
  <c r="P331" i="6" s="1"/>
  <c r="Q331" i="6" s="1"/>
  <c r="R331" i="6" s="1"/>
  <c r="S331" i="6" s="1"/>
  <c r="T331" i="6" s="1"/>
  <c r="U331" i="6" s="1"/>
  <c r="V331" i="6" s="1"/>
  <c r="W331" i="6" s="1"/>
  <c r="X331" i="6" s="1"/>
  <c r="Y331" i="6" s="1"/>
  <c r="Z331" i="6" s="1"/>
  <c r="AA331" i="6" s="1"/>
  <c r="AB331" i="6" s="1"/>
  <c r="AC331" i="6" s="1"/>
  <c r="AD331" i="6" s="1"/>
  <c r="AE331" i="6" s="1"/>
  <c r="AF331" i="6" s="1"/>
  <c r="AG331" i="6" s="1"/>
  <c r="AH331" i="6" s="1"/>
  <c r="AI331" i="6" s="1"/>
  <c r="AJ331" i="6" s="1"/>
  <c r="AK331" i="6" s="1"/>
  <c r="D330" i="6"/>
  <c r="E330" i="6" s="1"/>
  <c r="F330" i="6" s="1"/>
  <c r="G330" i="6" s="1"/>
  <c r="H330" i="6" s="1"/>
  <c r="I330" i="6" s="1"/>
  <c r="J330" i="6" s="1"/>
  <c r="K330" i="6" s="1"/>
  <c r="L330" i="6" s="1"/>
  <c r="M330" i="6" s="1"/>
  <c r="N330" i="6" s="1"/>
  <c r="O330" i="6" s="1"/>
  <c r="P330" i="6" s="1"/>
  <c r="Q330" i="6" s="1"/>
  <c r="R330" i="6" s="1"/>
  <c r="S330" i="6" s="1"/>
  <c r="T330" i="6" s="1"/>
  <c r="U330" i="6" s="1"/>
  <c r="V330" i="6" s="1"/>
  <c r="W330" i="6" s="1"/>
  <c r="X330" i="6" s="1"/>
  <c r="Y330" i="6" s="1"/>
  <c r="Z330" i="6" s="1"/>
  <c r="AA330" i="6" s="1"/>
  <c r="AB330" i="6" s="1"/>
  <c r="AC330" i="6" s="1"/>
  <c r="AD330" i="6" s="1"/>
  <c r="AE330" i="6" s="1"/>
  <c r="AF330" i="6" s="1"/>
  <c r="AG330" i="6" s="1"/>
  <c r="AH330" i="6" s="1"/>
  <c r="AI330" i="6" s="1"/>
  <c r="AJ330" i="6" s="1"/>
  <c r="AK330" i="6" s="1"/>
  <c r="D329" i="6"/>
  <c r="E329" i="6" s="1"/>
  <c r="F329" i="6" s="1"/>
  <c r="G329" i="6" s="1"/>
  <c r="H329" i="6" s="1"/>
  <c r="I329" i="6" s="1"/>
  <c r="J329" i="6" s="1"/>
  <c r="K329" i="6" s="1"/>
  <c r="L329" i="6" s="1"/>
  <c r="M329" i="6" s="1"/>
  <c r="N329" i="6" s="1"/>
  <c r="O329" i="6" s="1"/>
  <c r="P329" i="6" s="1"/>
  <c r="Q329" i="6" s="1"/>
  <c r="R329" i="6" s="1"/>
  <c r="S329" i="6" s="1"/>
  <c r="T329" i="6" s="1"/>
  <c r="U329" i="6" s="1"/>
  <c r="V329" i="6" s="1"/>
  <c r="W329" i="6" s="1"/>
  <c r="X329" i="6" s="1"/>
  <c r="Y329" i="6" s="1"/>
  <c r="Z329" i="6" s="1"/>
  <c r="AA329" i="6" s="1"/>
  <c r="AB329" i="6" s="1"/>
  <c r="AC329" i="6" s="1"/>
  <c r="AD329" i="6" s="1"/>
  <c r="AE329" i="6" s="1"/>
  <c r="AF329" i="6" s="1"/>
  <c r="AG329" i="6" s="1"/>
  <c r="AH329" i="6" s="1"/>
  <c r="AI329" i="6" s="1"/>
  <c r="AJ329" i="6" s="1"/>
  <c r="AK329" i="6" s="1"/>
  <c r="D328" i="6"/>
  <c r="E328" i="6" s="1"/>
  <c r="F328" i="6" s="1"/>
  <c r="G328" i="6" s="1"/>
  <c r="H328" i="6" s="1"/>
  <c r="I328" i="6" s="1"/>
  <c r="J328" i="6" s="1"/>
  <c r="K328" i="6" s="1"/>
  <c r="L328" i="6" s="1"/>
  <c r="M328" i="6" s="1"/>
  <c r="N328" i="6" s="1"/>
  <c r="O328" i="6" s="1"/>
  <c r="P328" i="6" s="1"/>
  <c r="Q328" i="6" s="1"/>
  <c r="R328" i="6" s="1"/>
  <c r="S328" i="6" s="1"/>
  <c r="T328" i="6" s="1"/>
  <c r="U328" i="6" s="1"/>
  <c r="V328" i="6" s="1"/>
  <c r="W328" i="6" s="1"/>
  <c r="X328" i="6" s="1"/>
  <c r="Y328" i="6" s="1"/>
  <c r="Z328" i="6" s="1"/>
  <c r="AA328" i="6" s="1"/>
  <c r="AB328" i="6" s="1"/>
  <c r="AC328" i="6" s="1"/>
  <c r="AD328" i="6" s="1"/>
  <c r="AE328" i="6" s="1"/>
  <c r="AF328" i="6" s="1"/>
  <c r="AG328" i="6" s="1"/>
  <c r="AH328" i="6" s="1"/>
  <c r="AI328" i="6" s="1"/>
  <c r="AJ328" i="6" s="1"/>
  <c r="AK328" i="6" s="1"/>
  <c r="D327" i="6"/>
  <c r="E327" i="6" s="1"/>
  <c r="F327" i="6" s="1"/>
  <c r="G327" i="6" s="1"/>
  <c r="H327" i="6" s="1"/>
  <c r="I327" i="6" s="1"/>
  <c r="J327" i="6" s="1"/>
  <c r="K327" i="6" s="1"/>
  <c r="L327" i="6" s="1"/>
  <c r="M327" i="6" s="1"/>
  <c r="N327" i="6" s="1"/>
  <c r="O327" i="6" s="1"/>
  <c r="P327" i="6" s="1"/>
  <c r="Q327" i="6" s="1"/>
  <c r="R327" i="6" s="1"/>
  <c r="S327" i="6" s="1"/>
  <c r="T327" i="6" s="1"/>
  <c r="U327" i="6" s="1"/>
  <c r="V327" i="6" s="1"/>
  <c r="W327" i="6" s="1"/>
  <c r="X327" i="6" s="1"/>
  <c r="Y327" i="6" s="1"/>
  <c r="Z327" i="6" s="1"/>
  <c r="AA327" i="6" s="1"/>
  <c r="AB327" i="6" s="1"/>
  <c r="AC327" i="6" s="1"/>
  <c r="AD327" i="6" s="1"/>
  <c r="AE327" i="6" s="1"/>
  <c r="AF327" i="6" s="1"/>
  <c r="AG327" i="6" s="1"/>
  <c r="AH327" i="6" s="1"/>
  <c r="AI327" i="6" s="1"/>
  <c r="AJ327" i="6" s="1"/>
  <c r="AK327" i="6" s="1"/>
  <c r="D326" i="6"/>
  <c r="E326" i="6" s="1"/>
  <c r="F326" i="6" s="1"/>
  <c r="G326" i="6" s="1"/>
  <c r="H326" i="6" s="1"/>
  <c r="I326" i="6" s="1"/>
  <c r="J326" i="6" s="1"/>
  <c r="K326" i="6" s="1"/>
  <c r="L326" i="6" s="1"/>
  <c r="M326" i="6" s="1"/>
  <c r="N326" i="6" s="1"/>
  <c r="O326" i="6" s="1"/>
  <c r="P326" i="6" s="1"/>
  <c r="Q326" i="6" s="1"/>
  <c r="R326" i="6" s="1"/>
  <c r="S326" i="6" s="1"/>
  <c r="T326" i="6" s="1"/>
  <c r="U326" i="6" s="1"/>
  <c r="V326" i="6" s="1"/>
  <c r="W326" i="6" s="1"/>
  <c r="X326" i="6" s="1"/>
  <c r="Y326" i="6" s="1"/>
  <c r="Z326" i="6" s="1"/>
  <c r="AA326" i="6" s="1"/>
  <c r="AB326" i="6" s="1"/>
  <c r="AC326" i="6" s="1"/>
  <c r="AD326" i="6" s="1"/>
  <c r="AE326" i="6" s="1"/>
  <c r="AF326" i="6" s="1"/>
  <c r="AG326" i="6" s="1"/>
  <c r="AH326" i="6" s="1"/>
  <c r="AI326" i="6" s="1"/>
  <c r="AJ326" i="6" s="1"/>
  <c r="AK326" i="6" s="1"/>
  <c r="D325" i="6"/>
  <c r="E325" i="6" s="1"/>
  <c r="F325" i="6" s="1"/>
  <c r="G325" i="6" s="1"/>
  <c r="H325" i="6" s="1"/>
  <c r="I325" i="6" s="1"/>
  <c r="J325" i="6" s="1"/>
  <c r="K325" i="6" s="1"/>
  <c r="L325" i="6" s="1"/>
  <c r="M325" i="6" s="1"/>
  <c r="N325" i="6" s="1"/>
  <c r="O325" i="6" s="1"/>
  <c r="P325" i="6" s="1"/>
  <c r="Q325" i="6" s="1"/>
  <c r="R325" i="6" s="1"/>
  <c r="S325" i="6" s="1"/>
  <c r="T325" i="6" s="1"/>
  <c r="U325" i="6" s="1"/>
  <c r="V325" i="6" s="1"/>
  <c r="W325" i="6" s="1"/>
  <c r="X325" i="6" s="1"/>
  <c r="Y325" i="6" s="1"/>
  <c r="Z325" i="6" s="1"/>
  <c r="AA325" i="6" s="1"/>
  <c r="AB325" i="6" s="1"/>
  <c r="AC325" i="6" s="1"/>
  <c r="AD325" i="6" s="1"/>
  <c r="AE325" i="6" s="1"/>
  <c r="AF325" i="6" s="1"/>
  <c r="AG325" i="6" s="1"/>
  <c r="AH325" i="6" s="1"/>
  <c r="AI325" i="6" s="1"/>
  <c r="AJ325" i="6" s="1"/>
  <c r="AK325" i="6" s="1"/>
  <c r="D324" i="6"/>
  <c r="E324" i="6" s="1"/>
  <c r="F324" i="6" s="1"/>
  <c r="G324" i="6" s="1"/>
  <c r="H324" i="6" s="1"/>
  <c r="I324" i="6" s="1"/>
  <c r="J324" i="6" s="1"/>
  <c r="K324" i="6" s="1"/>
  <c r="L324" i="6" s="1"/>
  <c r="M324" i="6" s="1"/>
  <c r="N324" i="6" s="1"/>
  <c r="O324" i="6" s="1"/>
  <c r="P324" i="6" s="1"/>
  <c r="Q324" i="6" s="1"/>
  <c r="R324" i="6" s="1"/>
  <c r="S324" i="6" s="1"/>
  <c r="T324" i="6" s="1"/>
  <c r="U324" i="6" s="1"/>
  <c r="V324" i="6" s="1"/>
  <c r="W324" i="6" s="1"/>
  <c r="X324" i="6" s="1"/>
  <c r="Y324" i="6" s="1"/>
  <c r="Z324" i="6" s="1"/>
  <c r="AA324" i="6" s="1"/>
  <c r="AB324" i="6" s="1"/>
  <c r="AC324" i="6" s="1"/>
  <c r="AD324" i="6" s="1"/>
  <c r="AE324" i="6" s="1"/>
  <c r="AF324" i="6" s="1"/>
  <c r="AG324" i="6" s="1"/>
  <c r="AH324" i="6" s="1"/>
  <c r="AI324" i="6" s="1"/>
  <c r="AJ324" i="6" s="1"/>
  <c r="AK324" i="6" s="1"/>
  <c r="D323" i="6"/>
  <c r="E323" i="6" s="1"/>
  <c r="F323" i="6" s="1"/>
  <c r="G323" i="6" s="1"/>
  <c r="H323" i="6" s="1"/>
  <c r="I323" i="6" s="1"/>
  <c r="J323" i="6" s="1"/>
  <c r="K323" i="6" s="1"/>
  <c r="L323" i="6" s="1"/>
  <c r="M323" i="6" s="1"/>
  <c r="N323" i="6" s="1"/>
  <c r="O323" i="6" s="1"/>
  <c r="P323" i="6" s="1"/>
  <c r="Q323" i="6" s="1"/>
  <c r="R323" i="6" s="1"/>
  <c r="S323" i="6" s="1"/>
  <c r="T323" i="6" s="1"/>
  <c r="U323" i="6" s="1"/>
  <c r="V323" i="6" s="1"/>
  <c r="W323" i="6" s="1"/>
  <c r="X323" i="6" s="1"/>
  <c r="Y323" i="6" s="1"/>
  <c r="Z323" i="6" s="1"/>
  <c r="AA323" i="6" s="1"/>
  <c r="AB323" i="6" s="1"/>
  <c r="AC323" i="6" s="1"/>
  <c r="AD323" i="6" s="1"/>
  <c r="AE323" i="6" s="1"/>
  <c r="AF323" i="6" s="1"/>
  <c r="AG323" i="6" s="1"/>
  <c r="AH323" i="6" s="1"/>
  <c r="AI323" i="6" s="1"/>
  <c r="AJ323" i="6" s="1"/>
  <c r="AK323" i="6" s="1"/>
  <c r="D322" i="6"/>
  <c r="E322" i="6" s="1"/>
  <c r="F322" i="6" s="1"/>
  <c r="G322" i="6" s="1"/>
  <c r="H322" i="6" s="1"/>
  <c r="I322" i="6" s="1"/>
  <c r="J322" i="6" s="1"/>
  <c r="K322" i="6" s="1"/>
  <c r="L322" i="6" s="1"/>
  <c r="M322" i="6" s="1"/>
  <c r="N322" i="6" s="1"/>
  <c r="O322" i="6" s="1"/>
  <c r="P322" i="6" s="1"/>
  <c r="Q322" i="6" s="1"/>
  <c r="R322" i="6" s="1"/>
  <c r="S322" i="6" s="1"/>
  <c r="T322" i="6" s="1"/>
  <c r="U322" i="6" s="1"/>
  <c r="V322" i="6" s="1"/>
  <c r="W322" i="6" s="1"/>
  <c r="X322" i="6" s="1"/>
  <c r="Y322" i="6" s="1"/>
  <c r="Z322" i="6" s="1"/>
  <c r="AA322" i="6" s="1"/>
  <c r="AB322" i="6" s="1"/>
  <c r="AC322" i="6" s="1"/>
  <c r="AD322" i="6" s="1"/>
  <c r="AE322" i="6" s="1"/>
  <c r="AF322" i="6" s="1"/>
  <c r="AG322" i="6" s="1"/>
  <c r="AH322" i="6" s="1"/>
  <c r="AI322" i="6" s="1"/>
  <c r="AJ322" i="6" s="1"/>
  <c r="AK322" i="6" s="1"/>
  <c r="D321" i="6"/>
  <c r="E321" i="6" s="1"/>
  <c r="F321" i="6" s="1"/>
  <c r="G321" i="6" s="1"/>
  <c r="H321" i="6" s="1"/>
  <c r="I321" i="6" s="1"/>
  <c r="J321" i="6" s="1"/>
  <c r="K321" i="6" s="1"/>
  <c r="L321" i="6" s="1"/>
  <c r="M321" i="6" s="1"/>
  <c r="N321" i="6" s="1"/>
  <c r="O321" i="6" s="1"/>
  <c r="P321" i="6" s="1"/>
  <c r="Q321" i="6" s="1"/>
  <c r="R321" i="6" s="1"/>
  <c r="S321" i="6" s="1"/>
  <c r="T321" i="6" s="1"/>
  <c r="U321" i="6" s="1"/>
  <c r="V321" i="6" s="1"/>
  <c r="W321" i="6" s="1"/>
  <c r="X321" i="6" s="1"/>
  <c r="Y321" i="6" s="1"/>
  <c r="Z321" i="6" s="1"/>
  <c r="AA321" i="6" s="1"/>
  <c r="AB321" i="6" s="1"/>
  <c r="AC321" i="6" s="1"/>
  <c r="AD321" i="6" s="1"/>
  <c r="AE321" i="6" s="1"/>
  <c r="AF321" i="6" s="1"/>
  <c r="AG321" i="6" s="1"/>
  <c r="AH321" i="6" s="1"/>
  <c r="AI321" i="6" s="1"/>
  <c r="AJ321" i="6" s="1"/>
  <c r="AK321" i="6" s="1"/>
  <c r="D320" i="6"/>
  <c r="E320" i="6" s="1"/>
  <c r="F320" i="6" s="1"/>
  <c r="G320" i="6" s="1"/>
  <c r="H320" i="6" s="1"/>
  <c r="I320" i="6" s="1"/>
  <c r="J320" i="6" s="1"/>
  <c r="K320" i="6" s="1"/>
  <c r="L320" i="6" s="1"/>
  <c r="M320" i="6" s="1"/>
  <c r="N320" i="6" s="1"/>
  <c r="O320" i="6" s="1"/>
  <c r="P320" i="6" s="1"/>
  <c r="Q320" i="6" s="1"/>
  <c r="R320" i="6" s="1"/>
  <c r="S320" i="6" s="1"/>
  <c r="T320" i="6" s="1"/>
  <c r="U320" i="6" s="1"/>
  <c r="V320" i="6" s="1"/>
  <c r="W320" i="6" s="1"/>
  <c r="X320" i="6" s="1"/>
  <c r="Y320" i="6" s="1"/>
  <c r="Z320" i="6" s="1"/>
  <c r="AA320" i="6" s="1"/>
  <c r="AB320" i="6" s="1"/>
  <c r="AC320" i="6" s="1"/>
  <c r="AD320" i="6" s="1"/>
  <c r="AE320" i="6" s="1"/>
  <c r="AF320" i="6" s="1"/>
  <c r="AG320" i="6" s="1"/>
  <c r="AH320" i="6" s="1"/>
  <c r="AI320" i="6" s="1"/>
  <c r="AJ320" i="6" s="1"/>
  <c r="AK320" i="6" s="1"/>
  <c r="D319" i="6"/>
  <c r="E319" i="6" s="1"/>
  <c r="F319" i="6" s="1"/>
  <c r="G319" i="6" s="1"/>
  <c r="H319" i="6" s="1"/>
  <c r="I319" i="6" s="1"/>
  <c r="J319" i="6" s="1"/>
  <c r="K319" i="6" s="1"/>
  <c r="L319" i="6" s="1"/>
  <c r="M319" i="6" s="1"/>
  <c r="N319" i="6" s="1"/>
  <c r="O319" i="6" s="1"/>
  <c r="P319" i="6" s="1"/>
  <c r="Q319" i="6" s="1"/>
  <c r="R319" i="6" s="1"/>
  <c r="S319" i="6" s="1"/>
  <c r="T319" i="6" s="1"/>
  <c r="U319" i="6" s="1"/>
  <c r="V319" i="6" s="1"/>
  <c r="W319" i="6" s="1"/>
  <c r="X319" i="6" s="1"/>
  <c r="Y319" i="6" s="1"/>
  <c r="Z319" i="6" s="1"/>
  <c r="AA319" i="6" s="1"/>
  <c r="AB319" i="6" s="1"/>
  <c r="AC319" i="6" s="1"/>
  <c r="AD319" i="6" s="1"/>
  <c r="AE319" i="6" s="1"/>
  <c r="AF319" i="6" s="1"/>
  <c r="AG319" i="6" s="1"/>
  <c r="AH319" i="6" s="1"/>
  <c r="AI319" i="6" s="1"/>
  <c r="AJ319" i="6" s="1"/>
  <c r="AK319" i="6" s="1"/>
  <c r="D318" i="6"/>
  <c r="E318" i="6" s="1"/>
  <c r="F318" i="6" s="1"/>
  <c r="G318" i="6" s="1"/>
  <c r="H318" i="6" s="1"/>
  <c r="I318" i="6" s="1"/>
  <c r="J318" i="6" s="1"/>
  <c r="K318" i="6" s="1"/>
  <c r="L318" i="6" s="1"/>
  <c r="M318" i="6" s="1"/>
  <c r="N318" i="6" s="1"/>
  <c r="O318" i="6" s="1"/>
  <c r="P318" i="6" s="1"/>
  <c r="Q318" i="6" s="1"/>
  <c r="R318" i="6" s="1"/>
  <c r="S318" i="6" s="1"/>
  <c r="T318" i="6" s="1"/>
  <c r="U318" i="6" s="1"/>
  <c r="V318" i="6" s="1"/>
  <c r="W318" i="6" s="1"/>
  <c r="X318" i="6" s="1"/>
  <c r="Y318" i="6" s="1"/>
  <c r="Z318" i="6" s="1"/>
  <c r="AA318" i="6" s="1"/>
  <c r="AB318" i="6" s="1"/>
  <c r="AC318" i="6" s="1"/>
  <c r="AD318" i="6" s="1"/>
  <c r="AE318" i="6" s="1"/>
  <c r="AF318" i="6" s="1"/>
  <c r="AG318" i="6" s="1"/>
  <c r="AH318" i="6" s="1"/>
  <c r="AI318" i="6" s="1"/>
  <c r="AJ318" i="6" s="1"/>
  <c r="AK318" i="6" s="1"/>
  <c r="D317" i="6"/>
  <c r="E317" i="6" s="1"/>
  <c r="F317" i="6" s="1"/>
  <c r="G317" i="6" s="1"/>
  <c r="H317" i="6" s="1"/>
  <c r="I317" i="6" s="1"/>
  <c r="J317" i="6" s="1"/>
  <c r="K317" i="6" s="1"/>
  <c r="L317" i="6" s="1"/>
  <c r="M317" i="6" s="1"/>
  <c r="N317" i="6" s="1"/>
  <c r="O317" i="6" s="1"/>
  <c r="P317" i="6" s="1"/>
  <c r="Q317" i="6" s="1"/>
  <c r="R317" i="6" s="1"/>
  <c r="S317" i="6" s="1"/>
  <c r="T317" i="6" s="1"/>
  <c r="U317" i="6" s="1"/>
  <c r="V317" i="6" s="1"/>
  <c r="W317" i="6" s="1"/>
  <c r="X317" i="6" s="1"/>
  <c r="Y317" i="6" s="1"/>
  <c r="Z317" i="6" s="1"/>
  <c r="AA317" i="6" s="1"/>
  <c r="AB317" i="6" s="1"/>
  <c r="AC317" i="6" s="1"/>
  <c r="AD317" i="6" s="1"/>
  <c r="AE317" i="6" s="1"/>
  <c r="AF317" i="6" s="1"/>
  <c r="AG317" i="6" s="1"/>
  <c r="AH317" i="6" s="1"/>
  <c r="AI317" i="6" s="1"/>
  <c r="AJ317" i="6" s="1"/>
  <c r="AK317" i="6" s="1"/>
  <c r="D316" i="6"/>
  <c r="E316" i="6" s="1"/>
  <c r="F316" i="6" s="1"/>
  <c r="G316" i="6" s="1"/>
  <c r="H316" i="6" s="1"/>
  <c r="I316" i="6" s="1"/>
  <c r="J316" i="6" s="1"/>
  <c r="K316" i="6" s="1"/>
  <c r="L316" i="6" s="1"/>
  <c r="M316" i="6" s="1"/>
  <c r="N316" i="6" s="1"/>
  <c r="O316" i="6" s="1"/>
  <c r="P316" i="6" s="1"/>
  <c r="Q316" i="6" s="1"/>
  <c r="R316" i="6" s="1"/>
  <c r="S316" i="6" s="1"/>
  <c r="T316" i="6" s="1"/>
  <c r="U316" i="6" s="1"/>
  <c r="V316" i="6" s="1"/>
  <c r="W316" i="6" s="1"/>
  <c r="X316" i="6" s="1"/>
  <c r="Y316" i="6" s="1"/>
  <c r="Z316" i="6" s="1"/>
  <c r="AA316" i="6" s="1"/>
  <c r="AB316" i="6" s="1"/>
  <c r="AC316" i="6" s="1"/>
  <c r="AD316" i="6" s="1"/>
  <c r="AE316" i="6" s="1"/>
  <c r="AF316" i="6" s="1"/>
  <c r="AG316" i="6" s="1"/>
  <c r="AH316" i="6" s="1"/>
  <c r="AI316" i="6" s="1"/>
  <c r="AJ316" i="6" s="1"/>
  <c r="AK316" i="6" s="1"/>
  <c r="D315" i="6"/>
  <c r="E315" i="6" s="1"/>
  <c r="F315" i="6" s="1"/>
  <c r="G315" i="6" s="1"/>
  <c r="H315" i="6" s="1"/>
  <c r="I315" i="6" s="1"/>
  <c r="J315" i="6" s="1"/>
  <c r="K315" i="6" s="1"/>
  <c r="L315" i="6" s="1"/>
  <c r="M315" i="6" s="1"/>
  <c r="N315" i="6" s="1"/>
  <c r="O315" i="6" s="1"/>
  <c r="P315" i="6" s="1"/>
  <c r="Q315" i="6" s="1"/>
  <c r="R315" i="6" s="1"/>
  <c r="S315" i="6" s="1"/>
  <c r="T315" i="6" s="1"/>
  <c r="U315" i="6" s="1"/>
  <c r="V315" i="6" s="1"/>
  <c r="W315" i="6" s="1"/>
  <c r="X315" i="6" s="1"/>
  <c r="Y315" i="6" s="1"/>
  <c r="Z315" i="6" s="1"/>
  <c r="AA315" i="6" s="1"/>
  <c r="AB315" i="6" s="1"/>
  <c r="AC315" i="6" s="1"/>
  <c r="AD315" i="6" s="1"/>
  <c r="AE315" i="6" s="1"/>
  <c r="AF315" i="6" s="1"/>
  <c r="AG315" i="6" s="1"/>
  <c r="AH315" i="6" s="1"/>
  <c r="AI315" i="6" s="1"/>
  <c r="AJ315" i="6" s="1"/>
  <c r="AK315" i="6" s="1"/>
  <c r="D314" i="6"/>
  <c r="E314" i="6" s="1"/>
  <c r="F314" i="6" s="1"/>
  <c r="G314" i="6" s="1"/>
  <c r="H314" i="6" s="1"/>
  <c r="I314" i="6" s="1"/>
  <c r="J314" i="6" s="1"/>
  <c r="K314" i="6" s="1"/>
  <c r="L314" i="6" s="1"/>
  <c r="M314" i="6" s="1"/>
  <c r="N314" i="6" s="1"/>
  <c r="O314" i="6" s="1"/>
  <c r="P314" i="6" s="1"/>
  <c r="Q314" i="6" s="1"/>
  <c r="R314" i="6" s="1"/>
  <c r="S314" i="6" s="1"/>
  <c r="T314" i="6" s="1"/>
  <c r="U314" i="6" s="1"/>
  <c r="V314" i="6" s="1"/>
  <c r="W314" i="6" s="1"/>
  <c r="X314" i="6" s="1"/>
  <c r="Y314" i="6" s="1"/>
  <c r="Z314" i="6" s="1"/>
  <c r="AA314" i="6" s="1"/>
  <c r="AB314" i="6" s="1"/>
  <c r="AC314" i="6" s="1"/>
  <c r="AD314" i="6" s="1"/>
  <c r="AE314" i="6" s="1"/>
  <c r="AF314" i="6" s="1"/>
  <c r="AG314" i="6" s="1"/>
  <c r="AH314" i="6" s="1"/>
  <c r="AI314" i="6" s="1"/>
  <c r="AJ314" i="6" s="1"/>
  <c r="AK314" i="6" s="1"/>
  <c r="D313" i="6"/>
  <c r="E313" i="6" s="1"/>
  <c r="F313" i="6" s="1"/>
  <c r="G313" i="6" s="1"/>
  <c r="H313" i="6" s="1"/>
  <c r="I313" i="6" s="1"/>
  <c r="J313" i="6" s="1"/>
  <c r="K313" i="6" s="1"/>
  <c r="L313" i="6" s="1"/>
  <c r="M313" i="6" s="1"/>
  <c r="N313" i="6" s="1"/>
  <c r="O313" i="6" s="1"/>
  <c r="P313" i="6" s="1"/>
  <c r="Q313" i="6" s="1"/>
  <c r="R313" i="6" s="1"/>
  <c r="S313" i="6" s="1"/>
  <c r="T313" i="6" s="1"/>
  <c r="U313" i="6" s="1"/>
  <c r="V313" i="6" s="1"/>
  <c r="W313" i="6" s="1"/>
  <c r="X313" i="6" s="1"/>
  <c r="Y313" i="6" s="1"/>
  <c r="Z313" i="6" s="1"/>
  <c r="AA313" i="6" s="1"/>
  <c r="AB313" i="6" s="1"/>
  <c r="AC313" i="6" s="1"/>
  <c r="AD313" i="6" s="1"/>
  <c r="AE313" i="6" s="1"/>
  <c r="AF313" i="6" s="1"/>
  <c r="AG313" i="6" s="1"/>
  <c r="AH313" i="6" s="1"/>
  <c r="AI313" i="6" s="1"/>
  <c r="AJ313" i="6" s="1"/>
  <c r="AK313" i="6" s="1"/>
  <c r="D312" i="6"/>
  <c r="E312" i="6" s="1"/>
  <c r="F312" i="6" s="1"/>
  <c r="G312" i="6" s="1"/>
  <c r="H312" i="6" s="1"/>
  <c r="I312" i="6" s="1"/>
  <c r="J312" i="6" s="1"/>
  <c r="K312" i="6" s="1"/>
  <c r="L312" i="6" s="1"/>
  <c r="M312" i="6" s="1"/>
  <c r="N312" i="6" s="1"/>
  <c r="O312" i="6" s="1"/>
  <c r="P312" i="6" s="1"/>
  <c r="Q312" i="6" s="1"/>
  <c r="R312" i="6" s="1"/>
  <c r="S312" i="6" s="1"/>
  <c r="T312" i="6" s="1"/>
  <c r="U312" i="6" s="1"/>
  <c r="V312" i="6" s="1"/>
  <c r="W312" i="6" s="1"/>
  <c r="X312" i="6" s="1"/>
  <c r="Y312" i="6" s="1"/>
  <c r="Z312" i="6" s="1"/>
  <c r="AA312" i="6" s="1"/>
  <c r="AB312" i="6" s="1"/>
  <c r="AC312" i="6" s="1"/>
  <c r="AD312" i="6" s="1"/>
  <c r="AE312" i="6" s="1"/>
  <c r="AF312" i="6" s="1"/>
  <c r="AG312" i="6" s="1"/>
  <c r="AH312" i="6" s="1"/>
  <c r="AI312" i="6" s="1"/>
  <c r="AJ312" i="6" s="1"/>
  <c r="AK312" i="6" s="1"/>
  <c r="D311" i="6"/>
  <c r="E311" i="6" s="1"/>
  <c r="F311" i="6" s="1"/>
  <c r="G311" i="6" s="1"/>
  <c r="H311" i="6" s="1"/>
  <c r="I311" i="6" s="1"/>
  <c r="J311" i="6" s="1"/>
  <c r="K311" i="6" s="1"/>
  <c r="L311" i="6" s="1"/>
  <c r="M311" i="6" s="1"/>
  <c r="N311" i="6" s="1"/>
  <c r="O311" i="6" s="1"/>
  <c r="P311" i="6" s="1"/>
  <c r="Q311" i="6" s="1"/>
  <c r="R311" i="6" s="1"/>
  <c r="S311" i="6" s="1"/>
  <c r="T311" i="6" s="1"/>
  <c r="U311" i="6" s="1"/>
  <c r="V311" i="6" s="1"/>
  <c r="W311" i="6" s="1"/>
  <c r="X311" i="6" s="1"/>
  <c r="Y311" i="6" s="1"/>
  <c r="Z311" i="6" s="1"/>
  <c r="AA311" i="6" s="1"/>
  <c r="AB311" i="6" s="1"/>
  <c r="AC311" i="6" s="1"/>
  <c r="AD311" i="6" s="1"/>
  <c r="AE311" i="6" s="1"/>
  <c r="AF311" i="6" s="1"/>
  <c r="AG311" i="6" s="1"/>
  <c r="AH311" i="6" s="1"/>
  <c r="AI311" i="6" s="1"/>
  <c r="AJ311" i="6" s="1"/>
  <c r="AK311" i="6" s="1"/>
  <c r="D310" i="6"/>
  <c r="E310" i="6" s="1"/>
  <c r="F310" i="6" s="1"/>
  <c r="G310" i="6" s="1"/>
  <c r="H310" i="6" s="1"/>
  <c r="I310" i="6" s="1"/>
  <c r="J310" i="6" s="1"/>
  <c r="K310" i="6" s="1"/>
  <c r="L310" i="6" s="1"/>
  <c r="M310" i="6" s="1"/>
  <c r="N310" i="6" s="1"/>
  <c r="O310" i="6" s="1"/>
  <c r="P310" i="6" s="1"/>
  <c r="Q310" i="6" s="1"/>
  <c r="R310" i="6" s="1"/>
  <c r="S310" i="6" s="1"/>
  <c r="T310" i="6" s="1"/>
  <c r="U310" i="6" s="1"/>
  <c r="V310" i="6" s="1"/>
  <c r="W310" i="6" s="1"/>
  <c r="X310" i="6" s="1"/>
  <c r="Y310" i="6" s="1"/>
  <c r="Z310" i="6" s="1"/>
  <c r="AA310" i="6" s="1"/>
  <c r="AB310" i="6" s="1"/>
  <c r="AC310" i="6" s="1"/>
  <c r="AD310" i="6" s="1"/>
  <c r="AE310" i="6" s="1"/>
  <c r="AF310" i="6" s="1"/>
  <c r="AG310" i="6" s="1"/>
  <c r="AH310" i="6" s="1"/>
  <c r="AI310" i="6" s="1"/>
  <c r="AJ310" i="6" s="1"/>
  <c r="AK310" i="6" s="1"/>
  <c r="D309" i="6"/>
  <c r="E309" i="6" s="1"/>
  <c r="F309" i="6" s="1"/>
  <c r="G309" i="6" s="1"/>
  <c r="H309" i="6" s="1"/>
  <c r="I309" i="6" s="1"/>
  <c r="J309" i="6" s="1"/>
  <c r="K309" i="6" s="1"/>
  <c r="L309" i="6" s="1"/>
  <c r="M309" i="6" s="1"/>
  <c r="N309" i="6" s="1"/>
  <c r="O309" i="6" s="1"/>
  <c r="P309" i="6" s="1"/>
  <c r="Q309" i="6" s="1"/>
  <c r="R309" i="6" s="1"/>
  <c r="S309" i="6" s="1"/>
  <c r="T309" i="6" s="1"/>
  <c r="U309" i="6" s="1"/>
  <c r="V309" i="6" s="1"/>
  <c r="W309" i="6" s="1"/>
  <c r="X309" i="6" s="1"/>
  <c r="Y309" i="6" s="1"/>
  <c r="Z309" i="6" s="1"/>
  <c r="AA309" i="6" s="1"/>
  <c r="AB309" i="6" s="1"/>
  <c r="AC309" i="6" s="1"/>
  <c r="AD309" i="6" s="1"/>
  <c r="AE309" i="6" s="1"/>
  <c r="AF309" i="6" s="1"/>
  <c r="AG309" i="6" s="1"/>
  <c r="AH309" i="6" s="1"/>
  <c r="AI309" i="6" s="1"/>
  <c r="AJ309" i="6" s="1"/>
  <c r="AK309" i="6" s="1"/>
  <c r="D308" i="6"/>
  <c r="E308" i="6" s="1"/>
  <c r="F308" i="6" s="1"/>
  <c r="G308" i="6" s="1"/>
  <c r="H308" i="6" s="1"/>
  <c r="I308" i="6" s="1"/>
  <c r="J308" i="6" s="1"/>
  <c r="K308" i="6" s="1"/>
  <c r="L308" i="6" s="1"/>
  <c r="M308" i="6" s="1"/>
  <c r="N308" i="6" s="1"/>
  <c r="O308" i="6" s="1"/>
  <c r="P308" i="6" s="1"/>
  <c r="Q308" i="6" s="1"/>
  <c r="R308" i="6" s="1"/>
  <c r="S308" i="6" s="1"/>
  <c r="T308" i="6" s="1"/>
  <c r="U308" i="6" s="1"/>
  <c r="V308" i="6" s="1"/>
  <c r="W308" i="6" s="1"/>
  <c r="X308" i="6" s="1"/>
  <c r="Y308" i="6" s="1"/>
  <c r="Z308" i="6" s="1"/>
  <c r="AA308" i="6" s="1"/>
  <c r="AB308" i="6" s="1"/>
  <c r="AC308" i="6" s="1"/>
  <c r="AD308" i="6" s="1"/>
  <c r="AE308" i="6" s="1"/>
  <c r="AF308" i="6" s="1"/>
  <c r="AG308" i="6" s="1"/>
  <c r="AH308" i="6" s="1"/>
  <c r="AI308" i="6" s="1"/>
  <c r="AJ308" i="6" s="1"/>
  <c r="AK308" i="6" s="1"/>
  <c r="D307" i="6"/>
  <c r="E307" i="6" s="1"/>
  <c r="F307" i="6" s="1"/>
  <c r="G307" i="6" s="1"/>
  <c r="H307" i="6" s="1"/>
  <c r="I307" i="6" s="1"/>
  <c r="J307" i="6" s="1"/>
  <c r="K307" i="6" s="1"/>
  <c r="L307" i="6" s="1"/>
  <c r="M307" i="6" s="1"/>
  <c r="N307" i="6" s="1"/>
  <c r="O307" i="6" s="1"/>
  <c r="P307" i="6" s="1"/>
  <c r="Q307" i="6" s="1"/>
  <c r="R307" i="6" s="1"/>
  <c r="S307" i="6" s="1"/>
  <c r="T307" i="6" s="1"/>
  <c r="U307" i="6" s="1"/>
  <c r="V307" i="6" s="1"/>
  <c r="W307" i="6" s="1"/>
  <c r="X307" i="6" s="1"/>
  <c r="Y307" i="6" s="1"/>
  <c r="Z307" i="6" s="1"/>
  <c r="AA307" i="6" s="1"/>
  <c r="AB307" i="6" s="1"/>
  <c r="AC307" i="6" s="1"/>
  <c r="AD307" i="6" s="1"/>
  <c r="AE307" i="6" s="1"/>
  <c r="AF307" i="6" s="1"/>
  <c r="AG307" i="6" s="1"/>
  <c r="AH307" i="6" s="1"/>
  <c r="AI307" i="6" s="1"/>
  <c r="AJ307" i="6" s="1"/>
  <c r="AK307" i="6" s="1"/>
  <c r="D306" i="6"/>
  <c r="E306" i="6" s="1"/>
  <c r="F306" i="6" s="1"/>
  <c r="G306" i="6" s="1"/>
  <c r="H306" i="6" s="1"/>
  <c r="I306" i="6" s="1"/>
  <c r="J306" i="6" s="1"/>
  <c r="K306" i="6" s="1"/>
  <c r="L306" i="6" s="1"/>
  <c r="M306" i="6" s="1"/>
  <c r="N306" i="6" s="1"/>
  <c r="O306" i="6" s="1"/>
  <c r="P306" i="6" s="1"/>
  <c r="Q306" i="6" s="1"/>
  <c r="R306" i="6" s="1"/>
  <c r="S306" i="6" s="1"/>
  <c r="T306" i="6" s="1"/>
  <c r="U306" i="6" s="1"/>
  <c r="V306" i="6" s="1"/>
  <c r="W306" i="6" s="1"/>
  <c r="X306" i="6" s="1"/>
  <c r="Y306" i="6" s="1"/>
  <c r="Z306" i="6" s="1"/>
  <c r="AA306" i="6" s="1"/>
  <c r="AB306" i="6" s="1"/>
  <c r="AC306" i="6" s="1"/>
  <c r="AD306" i="6" s="1"/>
  <c r="AE306" i="6" s="1"/>
  <c r="AF306" i="6" s="1"/>
  <c r="AG306" i="6" s="1"/>
  <c r="AH306" i="6" s="1"/>
  <c r="AI306" i="6" s="1"/>
  <c r="AJ306" i="6" s="1"/>
  <c r="AK306" i="6" s="1"/>
  <c r="D305" i="6"/>
  <c r="E305" i="6" s="1"/>
  <c r="F305" i="6" s="1"/>
  <c r="G305" i="6" s="1"/>
  <c r="H305" i="6" s="1"/>
  <c r="I305" i="6" s="1"/>
  <c r="J305" i="6" s="1"/>
  <c r="K305" i="6" s="1"/>
  <c r="L305" i="6" s="1"/>
  <c r="M305" i="6" s="1"/>
  <c r="N305" i="6" s="1"/>
  <c r="O305" i="6" s="1"/>
  <c r="P305" i="6" s="1"/>
  <c r="Q305" i="6" s="1"/>
  <c r="R305" i="6" s="1"/>
  <c r="S305" i="6" s="1"/>
  <c r="T305" i="6" s="1"/>
  <c r="U305" i="6" s="1"/>
  <c r="V305" i="6" s="1"/>
  <c r="W305" i="6" s="1"/>
  <c r="X305" i="6" s="1"/>
  <c r="Y305" i="6" s="1"/>
  <c r="Z305" i="6" s="1"/>
  <c r="AA305" i="6" s="1"/>
  <c r="AB305" i="6" s="1"/>
  <c r="AC305" i="6" s="1"/>
  <c r="AD305" i="6" s="1"/>
  <c r="AE305" i="6" s="1"/>
  <c r="AF305" i="6" s="1"/>
  <c r="AG305" i="6" s="1"/>
  <c r="AH305" i="6" s="1"/>
  <c r="AI305" i="6" s="1"/>
  <c r="AJ305" i="6" s="1"/>
  <c r="AK305" i="6" s="1"/>
  <c r="D304" i="6"/>
  <c r="E304" i="6"/>
  <c r="F304" i="6"/>
  <c r="G304" i="6"/>
  <c r="H304" i="6"/>
  <c r="I304" i="6"/>
  <c r="J304" i="6"/>
  <c r="K304" i="6"/>
  <c r="L304" i="6"/>
  <c r="M304" i="6"/>
  <c r="N304" i="6"/>
  <c r="O304" i="6"/>
  <c r="P304" i="6"/>
  <c r="Q304" i="6"/>
  <c r="R304" i="6"/>
  <c r="S304" i="6"/>
  <c r="T304" i="6"/>
  <c r="U304" i="6"/>
  <c r="V304" i="6"/>
  <c r="W304" i="6"/>
  <c r="X304" i="6"/>
  <c r="Y304" i="6"/>
  <c r="Z304" i="6"/>
  <c r="AA304" i="6"/>
  <c r="AB304" i="6"/>
  <c r="AC304" i="6"/>
  <c r="AD304" i="6"/>
  <c r="AE304" i="6"/>
  <c r="AF304" i="6"/>
  <c r="AG304" i="6"/>
  <c r="AH304" i="6"/>
  <c r="AI304" i="6"/>
  <c r="AJ304" i="6"/>
  <c r="AK304" i="6"/>
  <c r="D303" i="6"/>
  <c r="E303" i="6" s="1"/>
  <c r="F303" i="6" s="1"/>
  <c r="G303" i="6" s="1"/>
  <c r="H303" i="6" s="1"/>
  <c r="I303" i="6" s="1"/>
  <c r="J303" i="6" s="1"/>
  <c r="K303" i="6" s="1"/>
  <c r="L303" i="6" s="1"/>
  <c r="M303" i="6" s="1"/>
  <c r="N303" i="6" s="1"/>
  <c r="O303" i="6" s="1"/>
  <c r="P303" i="6" s="1"/>
  <c r="Q303" i="6" s="1"/>
  <c r="R303" i="6" s="1"/>
  <c r="S303" i="6" s="1"/>
  <c r="T303" i="6" s="1"/>
  <c r="U303" i="6" s="1"/>
  <c r="V303" i="6" s="1"/>
  <c r="W303" i="6" s="1"/>
  <c r="X303" i="6" s="1"/>
  <c r="Y303" i="6" s="1"/>
  <c r="Z303" i="6" s="1"/>
  <c r="AA303" i="6" s="1"/>
  <c r="AB303" i="6" s="1"/>
  <c r="AC303" i="6" s="1"/>
  <c r="AD303" i="6" s="1"/>
  <c r="AE303" i="6" s="1"/>
  <c r="AF303" i="6" s="1"/>
  <c r="AG303" i="6" s="1"/>
  <c r="AH303" i="6" s="1"/>
  <c r="AI303" i="6" s="1"/>
  <c r="AJ303" i="6" s="1"/>
  <c r="AK303" i="6" s="1"/>
  <c r="D302" i="6"/>
  <c r="E302" i="6"/>
  <c r="F302" i="6"/>
  <c r="G302" i="6"/>
  <c r="H302" i="6"/>
  <c r="I302" i="6"/>
  <c r="J302" i="6"/>
  <c r="K302" i="6"/>
  <c r="L302" i="6"/>
  <c r="M302" i="6"/>
  <c r="N302" i="6"/>
  <c r="O302" i="6"/>
  <c r="P302" i="6"/>
  <c r="Q302" i="6"/>
  <c r="R302" i="6"/>
  <c r="S302" i="6"/>
  <c r="T302" i="6"/>
  <c r="U302" i="6"/>
  <c r="V302" i="6"/>
  <c r="W302" i="6"/>
  <c r="X302" i="6"/>
  <c r="Y302" i="6"/>
  <c r="Z302" i="6"/>
  <c r="AA302" i="6"/>
  <c r="AB302" i="6"/>
  <c r="AC302" i="6"/>
  <c r="AD302" i="6"/>
  <c r="AE302" i="6"/>
  <c r="AF302" i="6"/>
  <c r="AG302" i="6"/>
  <c r="AH302" i="6"/>
  <c r="AI302" i="6"/>
  <c r="AJ302" i="6"/>
  <c r="AK302" i="6"/>
  <c r="D301" i="6"/>
  <c r="E301" i="6"/>
  <c r="F301" i="6"/>
  <c r="G301" i="6" s="1"/>
  <c r="H301" i="6" s="1"/>
  <c r="I301" i="6" s="1"/>
  <c r="J301" i="6" s="1"/>
  <c r="K301" i="6" s="1"/>
  <c r="L301" i="6" s="1"/>
  <c r="M301" i="6" s="1"/>
  <c r="N301" i="6" s="1"/>
  <c r="O301" i="6" s="1"/>
  <c r="P301" i="6" s="1"/>
  <c r="Q301" i="6" s="1"/>
  <c r="R301" i="6" s="1"/>
  <c r="S301" i="6" s="1"/>
  <c r="T301" i="6" s="1"/>
  <c r="U301" i="6" s="1"/>
  <c r="V301" i="6" s="1"/>
  <c r="W301" i="6" s="1"/>
  <c r="X301" i="6" s="1"/>
  <c r="Y301" i="6" s="1"/>
  <c r="Z301" i="6" s="1"/>
  <c r="AA301" i="6" s="1"/>
  <c r="AB301" i="6" s="1"/>
  <c r="AC301" i="6" s="1"/>
  <c r="AD301" i="6" s="1"/>
  <c r="AE301" i="6" s="1"/>
  <c r="AF301" i="6" s="1"/>
  <c r="AG301" i="6" s="1"/>
  <c r="AH301" i="6" s="1"/>
  <c r="AI301" i="6" s="1"/>
  <c r="AJ301" i="6" s="1"/>
  <c r="AK301" i="6" s="1"/>
  <c r="D300" i="6"/>
  <c r="E300" i="6" s="1"/>
  <c r="F300" i="6" s="1"/>
  <c r="G300" i="6" s="1"/>
  <c r="H300" i="6" s="1"/>
  <c r="I300" i="6" s="1"/>
  <c r="J300" i="6" s="1"/>
  <c r="K300" i="6" s="1"/>
  <c r="L300" i="6" s="1"/>
  <c r="M300" i="6" s="1"/>
  <c r="N300" i="6" s="1"/>
  <c r="O300" i="6" s="1"/>
  <c r="P300" i="6" s="1"/>
  <c r="Q300" i="6" s="1"/>
  <c r="R300" i="6" s="1"/>
  <c r="S300" i="6" s="1"/>
  <c r="T300" i="6" s="1"/>
  <c r="U300" i="6" s="1"/>
  <c r="V300" i="6" s="1"/>
  <c r="W300" i="6" s="1"/>
  <c r="X300" i="6" s="1"/>
  <c r="Y300" i="6" s="1"/>
  <c r="Z300" i="6" s="1"/>
  <c r="AA300" i="6" s="1"/>
  <c r="AB300" i="6" s="1"/>
  <c r="AC300" i="6" s="1"/>
  <c r="AD300" i="6" s="1"/>
  <c r="AE300" i="6" s="1"/>
  <c r="AF300" i="6" s="1"/>
  <c r="AG300" i="6" s="1"/>
  <c r="AH300" i="6" s="1"/>
  <c r="AI300" i="6" s="1"/>
  <c r="AJ300" i="6" s="1"/>
  <c r="AK300" i="6" s="1"/>
  <c r="D299" i="6"/>
  <c r="E299" i="6" s="1"/>
  <c r="F299" i="6" s="1"/>
  <c r="G299" i="6" s="1"/>
  <c r="H299" i="6" s="1"/>
  <c r="I299" i="6" s="1"/>
  <c r="J299" i="6" s="1"/>
  <c r="K299" i="6" s="1"/>
  <c r="L299" i="6" s="1"/>
  <c r="M299" i="6" s="1"/>
  <c r="N299" i="6" s="1"/>
  <c r="O299" i="6" s="1"/>
  <c r="P299" i="6" s="1"/>
  <c r="Q299" i="6" s="1"/>
  <c r="R299" i="6" s="1"/>
  <c r="S299" i="6" s="1"/>
  <c r="T299" i="6" s="1"/>
  <c r="U299" i="6" s="1"/>
  <c r="V299" i="6" s="1"/>
  <c r="W299" i="6" s="1"/>
  <c r="X299" i="6" s="1"/>
  <c r="Y299" i="6" s="1"/>
  <c r="Z299" i="6" s="1"/>
  <c r="AA299" i="6" s="1"/>
  <c r="AB299" i="6" s="1"/>
  <c r="AC299" i="6" s="1"/>
  <c r="AD299" i="6" s="1"/>
  <c r="AE299" i="6" s="1"/>
  <c r="AF299" i="6" s="1"/>
  <c r="AG299" i="6" s="1"/>
  <c r="AH299" i="6" s="1"/>
  <c r="AI299" i="6" s="1"/>
  <c r="AJ299" i="6" s="1"/>
  <c r="AK299" i="6" s="1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AJ298" i="6"/>
  <c r="AK298" i="6"/>
  <c r="D297" i="6"/>
  <c r="E297" i="6"/>
  <c r="F297" i="6" s="1"/>
  <c r="G297" i="6" s="1"/>
  <c r="H297" i="6" s="1"/>
  <c r="I297" i="6" s="1"/>
  <c r="J297" i="6" s="1"/>
  <c r="K297" i="6" s="1"/>
  <c r="L297" i="6" s="1"/>
  <c r="M297" i="6" s="1"/>
  <c r="N297" i="6" s="1"/>
  <c r="O297" i="6" s="1"/>
  <c r="P297" i="6" s="1"/>
  <c r="Q297" i="6" s="1"/>
  <c r="R297" i="6" s="1"/>
  <c r="S297" i="6" s="1"/>
  <c r="T297" i="6" s="1"/>
  <c r="U297" i="6" s="1"/>
  <c r="V297" i="6" s="1"/>
  <c r="W297" i="6" s="1"/>
  <c r="X297" i="6" s="1"/>
  <c r="Y297" i="6" s="1"/>
  <c r="Z297" i="6" s="1"/>
  <c r="AA297" i="6" s="1"/>
  <c r="AB297" i="6" s="1"/>
  <c r="AC297" i="6" s="1"/>
  <c r="AD297" i="6" s="1"/>
  <c r="AE297" i="6" s="1"/>
  <c r="AF297" i="6" s="1"/>
  <c r="AG297" i="6" s="1"/>
  <c r="AH297" i="6" s="1"/>
  <c r="AI297" i="6" s="1"/>
  <c r="AJ297" i="6" s="1"/>
  <c r="AK297" i="6" s="1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AJ296" i="6"/>
  <c r="AK296" i="6"/>
  <c r="D295" i="6"/>
  <c r="E295" i="6"/>
  <c r="F295" i="6"/>
  <c r="G295" i="6" s="1"/>
  <c r="H295" i="6" s="1"/>
  <c r="I295" i="6" s="1"/>
  <c r="J295" i="6" s="1"/>
  <c r="K295" i="6" s="1"/>
  <c r="L295" i="6" s="1"/>
  <c r="M295" i="6" s="1"/>
  <c r="N295" i="6" s="1"/>
  <c r="O295" i="6" s="1"/>
  <c r="P295" i="6" s="1"/>
  <c r="Q295" i="6" s="1"/>
  <c r="R295" i="6" s="1"/>
  <c r="S295" i="6" s="1"/>
  <c r="T295" i="6" s="1"/>
  <c r="U295" i="6" s="1"/>
  <c r="V295" i="6" s="1"/>
  <c r="W295" i="6" s="1"/>
  <c r="X295" i="6" s="1"/>
  <c r="Y295" i="6" s="1"/>
  <c r="Z295" i="6" s="1"/>
  <c r="AA295" i="6" s="1"/>
  <c r="AB295" i="6" s="1"/>
  <c r="AC295" i="6" s="1"/>
  <c r="AD295" i="6" s="1"/>
  <c r="AE295" i="6" s="1"/>
  <c r="AF295" i="6" s="1"/>
  <c r="AG295" i="6" s="1"/>
  <c r="AH295" i="6" s="1"/>
  <c r="AI295" i="6" s="1"/>
  <c r="AJ295" i="6" s="1"/>
  <c r="AK295" i="6" s="1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AJ294" i="6"/>
  <c r="AK294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AJ293" i="6"/>
  <c r="AK293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AJ292" i="6"/>
  <c r="AK292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AJ291" i="6"/>
  <c r="AK291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AJ290" i="6"/>
  <c r="AK290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 s="1"/>
  <c r="AG289" i="6" s="1"/>
  <c r="AH289" i="6" s="1"/>
  <c r="AI289" i="6" s="1"/>
  <c r="AJ289" i="6" s="1"/>
  <c r="AK289" i="6" s="1"/>
  <c r="D288" i="6"/>
  <c r="E288" i="6" s="1"/>
  <c r="F288" i="6" s="1"/>
  <c r="G288" i="6" s="1"/>
  <c r="H288" i="6" s="1"/>
  <c r="I288" i="6" s="1"/>
  <c r="J288" i="6" s="1"/>
  <c r="K288" i="6" s="1"/>
  <c r="L288" i="6" s="1"/>
  <c r="M288" i="6" s="1"/>
  <c r="N288" i="6" s="1"/>
  <c r="O288" i="6" s="1"/>
  <c r="P288" i="6" s="1"/>
  <c r="Q288" i="6" s="1"/>
  <c r="R288" i="6" s="1"/>
  <c r="S288" i="6" s="1"/>
  <c r="T288" i="6" s="1"/>
  <c r="U288" i="6" s="1"/>
  <c r="V288" i="6" s="1"/>
  <c r="W288" i="6" s="1"/>
  <c r="X288" i="6" s="1"/>
  <c r="Y288" i="6" s="1"/>
  <c r="Z288" i="6" s="1"/>
  <c r="AA288" i="6" s="1"/>
  <c r="AB288" i="6" s="1"/>
  <c r="AC288" i="6" s="1"/>
  <c r="AD288" i="6" s="1"/>
  <c r="AE288" i="6" s="1"/>
  <c r="AF288" i="6" s="1"/>
  <c r="AG288" i="6" s="1"/>
  <c r="AH288" i="6" s="1"/>
  <c r="AI288" i="6" s="1"/>
  <c r="AJ288" i="6" s="1"/>
  <c r="AK288" i="6" s="1"/>
  <c r="D287" i="6"/>
  <c r="E287" i="6" s="1"/>
  <c r="F287" i="6" s="1"/>
  <c r="G287" i="6" s="1"/>
  <c r="H287" i="6" s="1"/>
  <c r="I287" i="6" s="1"/>
  <c r="J287" i="6" s="1"/>
  <c r="K287" i="6" s="1"/>
  <c r="L287" i="6" s="1"/>
  <c r="M287" i="6" s="1"/>
  <c r="N287" i="6" s="1"/>
  <c r="O287" i="6" s="1"/>
  <c r="P287" i="6" s="1"/>
  <c r="Q287" i="6" s="1"/>
  <c r="R287" i="6" s="1"/>
  <c r="S287" i="6" s="1"/>
  <c r="T287" i="6" s="1"/>
  <c r="U287" i="6" s="1"/>
  <c r="V287" i="6" s="1"/>
  <c r="W287" i="6" s="1"/>
  <c r="X287" i="6" s="1"/>
  <c r="Y287" i="6" s="1"/>
  <c r="Z287" i="6" s="1"/>
  <c r="AA287" i="6" s="1"/>
  <c r="AB287" i="6" s="1"/>
  <c r="AC287" i="6" s="1"/>
  <c r="AD287" i="6" s="1"/>
  <c r="AE287" i="6" s="1"/>
  <c r="AF287" i="6" s="1"/>
  <c r="AG287" i="6" s="1"/>
  <c r="AH287" i="6" s="1"/>
  <c r="AI287" i="6" s="1"/>
  <c r="AJ287" i="6" s="1"/>
  <c r="AK287" i="6" s="1"/>
  <c r="D286" i="6"/>
  <c r="E286" i="6" s="1"/>
  <c r="F286" i="6" s="1"/>
  <c r="G286" i="6" s="1"/>
  <c r="H286" i="6" s="1"/>
  <c r="I286" i="6" s="1"/>
  <c r="J286" i="6" s="1"/>
  <c r="K286" i="6" s="1"/>
  <c r="L286" i="6" s="1"/>
  <c r="M286" i="6" s="1"/>
  <c r="N286" i="6" s="1"/>
  <c r="O286" i="6" s="1"/>
  <c r="P286" i="6" s="1"/>
  <c r="Q286" i="6" s="1"/>
  <c r="R286" i="6" s="1"/>
  <c r="S286" i="6" s="1"/>
  <c r="T286" i="6" s="1"/>
  <c r="U286" i="6" s="1"/>
  <c r="V286" i="6" s="1"/>
  <c r="W286" i="6" s="1"/>
  <c r="X286" i="6" s="1"/>
  <c r="Y286" i="6" s="1"/>
  <c r="Z286" i="6" s="1"/>
  <c r="AA286" i="6" s="1"/>
  <c r="AB286" i="6" s="1"/>
  <c r="AC286" i="6" s="1"/>
  <c r="AD286" i="6" s="1"/>
  <c r="AE286" i="6" s="1"/>
  <c r="AF286" i="6" s="1"/>
  <c r="AG286" i="6" s="1"/>
  <c r="AH286" i="6" s="1"/>
  <c r="AI286" i="6" s="1"/>
  <c r="AJ286" i="6" s="1"/>
  <c r="AK286" i="6" s="1"/>
  <c r="D285" i="6"/>
  <c r="E285" i="6" s="1"/>
  <c r="F285" i="6" s="1"/>
  <c r="G285" i="6" s="1"/>
  <c r="H285" i="6" s="1"/>
  <c r="I285" i="6" s="1"/>
  <c r="J285" i="6" s="1"/>
  <c r="K285" i="6" s="1"/>
  <c r="L285" i="6" s="1"/>
  <c r="M285" i="6" s="1"/>
  <c r="N285" i="6" s="1"/>
  <c r="O285" i="6" s="1"/>
  <c r="P285" i="6" s="1"/>
  <c r="Q285" i="6" s="1"/>
  <c r="R285" i="6" s="1"/>
  <c r="S285" i="6" s="1"/>
  <c r="T285" i="6" s="1"/>
  <c r="U285" i="6" s="1"/>
  <c r="V285" i="6" s="1"/>
  <c r="W285" i="6" s="1"/>
  <c r="X285" i="6" s="1"/>
  <c r="Y285" i="6" s="1"/>
  <c r="Z285" i="6" s="1"/>
  <c r="AA285" i="6" s="1"/>
  <c r="AB285" i="6" s="1"/>
  <c r="AC285" i="6" s="1"/>
  <c r="AD285" i="6" s="1"/>
  <c r="AE285" i="6" s="1"/>
  <c r="AF285" i="6" s="1"/>
  <c r="AG285" i="6" s="1"/>
  <c r="AH285" i="6" s="1"/>
  <c r="AI285" i="6" s="1"/>
  <c r="AJ285" i="6" s="1"/>
  <c r="AK285" i="6" s="1"/>
  <c r="D284" i="6"/>
  <c r="E284" i="6" s="1"/>
  <c r="F284" i="6" s="1"/>
  <c r="G284" i="6" s="1"/>
  <c r="H284" i="6" s="1"/>
  <c r="I284" i="6" s="1"/>
  <c r="J284" i="6" s="1"/>
  <c r="K284" i="6" s="1"/>
  <c r="L284" i="6" s="1"/>
  <c r="M284" i="6" s="1"/>
  <c r="N284" i="6" s="1"/>
  <c r="O284" i="6" s="1"/>
  <c r="P284" i="6" s="1"/>
  <c r="Q284" i="6" s="1"/>
  <c r="R284" i="6" s="1"/>
  <c r="S284" i="6" s="1"/>
  <c r="T284" i="6" s="1"/>
  <c r="U284" i="6" s="1"/>
  <c r="V284" i="6" s="1"/>
  <c r="W284" i="6" s="1"/>
  <c r="X284" i="6" s="1"/>
  <c r="Y284" i="6" s="1"/>
  <c r="Z284" i="6" s="1"/>
  <c r="AA284" i="6" s="1"/>
  <c r="AB284" i="6" s="1"/>
  <c r="AC284" i="6" s="1"/>
  <c r="AD284" i="6" s="1"/>
  <c r="AE284" i="6" s="1"/>
  <c r="AF284" i="6" s="1"/>
  <c r="AG284" i="6" s="1"/>
  <c r="AH284" i="6" s="1"/>
  <c r="AI284" i="6" s="1"/>
  <c r="AJ284" i="6" s="1"/>
  <c r="AK284" i="6" s="1"/>
  <c r="D283" i="6"/>
  <c r="E283" i="6" s="1"/>
  <c r="F283" i="6" s="1"/>
  <c r="G283" i="6" s="1"/>
  <c r="H283" i="6" s="1"/>
  <c r="I283" i="6" s="1"/>
  <c r="J283" i="6" s="1"/>
  <c r="K283" i="6" s="1"/>
  <c r="L283" i="6" s="1"/>
  <c r="M283" i="6" s="1"/>
  <c r="N283" i="6" s="1"/>
  <c r="O283" i="6" s="1"/>
  <c r="P283" i="6" s="1"/>
  <c r="Q283" i="6" s="1"/>
  <c r="R283" i="6" s="1"/>
  <c r="S283" i="6" s="1"/>
  <c r="T283" i="6" s="1"/>
  <c r="U283" i="6" s="1"/>
  <c r="V283" i="6" s="1"/>
  <c r="W283" i="6" s="1"/>
  <c r="X283" i="6" s="1"/>
  <c r="Y283" i="6" s="1"/>
  <c r="Z283" i="6" s="1"/>
  <c r="AA283" i="6" s="1"/>
  <c r="AB283" i="6" s="1"/>
  <c r="AC283" i="6" s="1"/>
  <c r="AD283" i="6" s="1"/>
  <c r="AE283" i="6" s="1"/>
  <c r="AF283" i="6" s="1"/>
  <c r="AG283" i="6" s="1"/>
  <c r="AH283" i="6" s="1"/>
  <c r="AI283" i="6" s="1"/>
  <c r="AJ283" i="6" s="1"/>
  <c r="AK283" i="6" s="1"/>
  <c r="D282" i="6"/>
  <c r="E282" i="6" s="1"/>
  <c r="F282" i="6" s="1"/>
  <c r="G282" i="6" s="1"/>
  <c r="H282" i="6" s="1"/>
  <c r="I282" i="6" s="1"/>
  <c r="J282" i="6" s="1"/>
  <c r="K282" i="6" s="1"/>
  <c r="L282" i="6" s="1"/>
  <c r="M282" i="6" s="1"/>
  <c r="N282" i="6" s="1"/>
  <c r="O282" i="6" s="1"/>
  <c r="P282" i="6" s="1"/>
  <c r="Q282" i="6" s="1"/>
  <c r="R282" i="6" s="1"/>
  <c r="S282" i="6" s="1"/>
  <c r="T282" i="6" s="1"/>
  <c r="U282" i="6" s="1"/>
  <c r="V282" i="6" s="1"/>
  <c r="W282" i="6" s="1"/>
  <c r="X282" i="6" s="1"/>
  <c r="Y282" i="6" s="1"/>
  <c r="Z282" i="6" s="1"/>
  <c r="AA282" i="6" s="1"/>
  <c r="AB282" i="6" s="1"/>
  <c r="AC282" i="6" s="1"/>
  <c r="AD282" i="6" s="1"/>
  <c r="AE282" i="6" s="1"/>
  <c r="AF282" i="6" s="1"/>
  <c r="AG282" i="6" s="1"/>
  <c r="AH282" i="6" s="1"/>
  <c r="AI282" i="6" s="1"/>
  <c r="AJ282" i="6" s="1"/>
  <c r="AK282" i="6" s="1"/>
  <c r="D281" i="6"/>
  <c r="E281" i="6" s="1"/>
  <c r="F281" i="6" s="1"/>
  <c r="G281" i="6" s="1"/>
  <c r="H281" i="6" s="1"/>
  <c r="I281" i="6" s="1"/>
  <c r="J281" i="6" s="1"/>
  <c r="K281" i="6" s="1"/>
  <c r="L281" i="6" s="1"/>
  <c r="M281" i="6" s="1"/>
  <c r="N281" i="6" s="1"/>
  <c r="O281" i="6" s="1"/>
  <c r="P281" i="6" s="1"/>
  <c r="Q281" i="6" s="1"/>
  <c r="R281" i="6" s="1"/>
  <c r="S281" i="6" s="1"/>
  <c r="T281" i="6" s="1"/>
  <c r="U281" i="6" s="1"/>
  <c r="V281" i="6" s="1"/>
  <c r="W281" i="6" s="1"/>
  <c r="X281" i="6" s="1"/>
  <c r="Y281" i="6" s="1"/>
  <c r="Z281" i="6" s="1"/>
  <c r="AA281" i="6" s="1"/>
  <c r="AB281" i="6" s="1"/>
  <c r="AC281" i="6" s="1"/>
  <c r="AD281" i="6" s="1"/>
  <c r="AE281" i="6" s="1"/>
  <c r="AF281" i="6" s="1"/>
  <c r="AG281" i="6" s="1"/>
  <c r="AH281" i="6" s="1"/>
  <c r="AI281" i="6" s="1"/>
  <c r="AJ281" i="6" s="1"/>
  <c r="AK281" i="6" s="1"/>
  <c r="D280" i="6"/>
  <c r="E280" i="6" s="1"/>
  <c r="F280" i="6" s="1"/>
  <c r="G280" i="6" s="1"/>
  <c r="H280" i="6" s="1"/>
  <c r="I280" i="6" s="1"/>
  <c r="J280" i="6" s="1"/>
  <c r="K280" i="6" s="1"/>
  <c r="L280" i="6" s="1"/>
  <c r="M280" i="6" s="1"/>
  <c r="N280" i="6" s="1"/>
  <c r="O280" i="6" s="1"/>
  <c r="P280" i="6" s="1"/>
  <c r="Q280" i="6" s="1"/>
  <c r="R280" i="6" s="1"/>
  <c r="S280" i="6" s="1"/>
  <c r="T280" i="6" s="1"/>
  <c r="U280" i="6" s="1"/>
  <c r="V280" i="6" s="1"/>
  <c r="W280" i="6" s="1"/>
  <c r="X280" i="6" s="1"/>
  <c r="Y280" i="6" s="1"/>
  <c r="Z280" i="6" s="1"/>
  <c r="AA280" i="6" s="1"/>
  <c r="AB280" i="6" s="1"/>
  <c r="AC280" i="6" s="1"/>
  <c r="AD280" i="6" s="1"/>
  <c r="AE280" i="6" s="1"/>
  <c r="AF280" i="6" s="1"/>
  <c r="AG280" i="6" s="1"/>
  <c r="AH280" i="6" s="1"/>
  <c r="AI280" i="6" s="1"/>
  <c r="AJ280" i="6" s="1"/>
  <c r="AK280" i="6" s="1"/>
  <c r="D279" i="6"/>
  <c r="E279" i="6" s="1"/>
  <c r="F279" i="6" s="1"/>
  <c r="G279" i="6" s="1"/>
  <c r="H279" i="6" s="1"/>
  <c r="I279" i="6" s="1"/>
  <c r="J279" i="6" s="1"/>
  <c r="K279" i="6" s="1"/>
  <c r="L279" i="6" s="1"/>
  <c r="M279" i="6" s="1"/>
  <c r="N279" i="6" s="1"/>
  <c r="O279" i="6" s="1"/>
  <c r="P279" i="6" s="1"/>
  <c r="Q279" i="6" s="1"/>
  <c r="R279" i="6" s="1"/>
  <c r="S279" i="6" s="1"/>
  <c r="T279" i="6" s="1"/>
  <c r="U279" i="6" s="1"/>
  <c r="V279" i="6" s="1"/>
  <c r="W279" i="6" s="1"/>
  <c r="X279" i="6" s="1"/>
  <c r="Y279" i="6" s="1"/>
  <c r="Z279" i="6" s="1"/>
  <c r="AA279" i="6" s="1"/>
  <c r="AB279" i="6" s="1"/>
  <c r="AC279" i="6" s="1"/>
  <c r="AD279" i="6" s="1"/>
  <c r="AE279" i="6" s="1"/>
  <c r="AF279" i="6" s="1"/>
  <c r="AG279" i="6" s="1"/>
  <c r="AH279" i="6" s="1"/>
  <c r="AI279" i="6" s="1"/>
  <c r="AJ279" i="6" s="1"/>
  <c r="AK279" i="6" s="1"/>
  <c r="D278" i="6"/>
  <c r="E278" i="6" s="1"/>
  <c r="F278" i="6" s="1"/>
  <c r="G278" i="6" s="1"/>
  <c r="H278" i="6" s="1"/>
  <c r="I278" i="6" s="1"/>
  <c r="J278" i="6" s="1"/>
  <c r="K278" i="6" s="1"/>
  <c r="L278" i="6" s="1"/>
  <c r="M278" i="6" s="1"/>
  <c r="N278" i="6" s="1"/>
  <c r="O278" i="6" s="1"/>
  <c r="P278" i="6" s="1"/>
  <c r="Q278" i="6" s="1"/>
  <c r="R278" i="6" s="1"/>
  <c r="S278" i="6" s="1"/>
  <c r="T278" i="6" s="1"/>
  <c r="U278" i="6" s="1"/>
  <c r="V278" i="6" s="1"/>
  <c r="W278" i="6" s="1"/>
  <c r="X278" i="6" s="1"/>
  <c r="Y278" i="6" s="1"/>
  <c r="Z278" i="6" s="1"/>
  <c r="AA278" i="6" s="1"/>
  <c r="AB278" i="6" s="1"/>
  <c r="AC278" i="6" s="1"/>
  <c r="AD278" i="6" s="1"/>
  <c r="AE278" i="6" s="1"/>
  <c r="AF278" i="6" s="1"/>
  <c r="AG278" i="6" s="1"/>
  <c r="AH278" i="6" s="1"/>
  <c r="AI278" i="6" s="1"/>
  <c r="AJ278" i="6" s="1"/>
  <c r="AK278" i="6" s="1"/>
  <c r="D277" i="6"/>
  <c r="E277" i="6" s="1"/>
  <c r="F277" i="6" s="1"/>
  <c r="G277" i="6" s="1"/>
  <c r="H277" i="6" s="1"/>
  <c r="I277" i="6" s="1"/>
  <c r="J277" i="6" s="1"/>
  <c r="K277" i="6" s="1"/>
  <c r="L277" i="6" s="1"/>
  <c r="M277" i="6" s="1"/>
  <c r="N277" i="6" s="1"/>
  <c r="O277" i="6" s="1"/>
  <c r="P277" i="6" s="1"/>
  <c r="Q277" i="6" s="1"/>
  <c r="R277" i="6" s="1"/>
  <c r="S277" i="6" s="1"/>
  <c r="T277" i="6" s="1"/>
  <c r="U277" i="6" s="1"/>
  <c r="V277" i="6" s="1"/>
  <c r="W277" i="6" s="1"/>
  <c r="X277" i="6" s="1"/>
  <c r="Y277" i="6" s="1"/>
  <c r="Z277" i="6" s="1"/>
  <c r="AA277" i="6" s="1"/>
  <c r="AB277" i="6" s="1"/>
  <c r="AC277" i="6" s="1"/>
  <c r="AD277" i="6" s="1"/>
  <c r="AE277" i="6" s="1"/>
  <c r="AF277" i="6" s="1"/>
  <c r="AG277" i="6" s="1"/>
  <c r="AH277" i="6" s="1"/>
  <c r="AI277" i="6" s="1"/>
  <c r="AJ277" i="6" s="1"/>
  <c r="AK277" i="6" s="1"/>
  <c r="D276" i="6"/>
  <c r="E276" i="6" s="1"/>
  <c r="F276" i="6" s="1"/>
  <c r="G276" i="6" s="1"/>
  <c r="H276" i="6" s="1"/>
  <c r="I276" i="6" s="1"/>
  <c r="J276" i="6" s="1"/>
  <c r="K276" i="6" s="1"/>
  <c r="L276" i="6" s="1"/>
  <c r="M276" i="6" s="1"/>
  <c r="N276" i="6" s="1"/>
  <c r="O276" i="6" s="1"/>
  <c r="P276" i="6" s="1"/>
  <c r="Q276" i="6" s="1"/>
  <c r="R276" i="6" s="1"/>
  <c r="S276" i="6" s="1"/>
  <c r="T276" i="6" s="1"/>
  <c r="U276" i="6" s="1"/>
  <c r="V276" i="6" s="1"/>
  <c r="W276" i="6" s="1"/>
  <c r="X276" i="6" s="1"/>
  <c r="Y276" i="6" s="1"/>
  <c r="Z276" i="6" s="1"/>
  <c r="AA276" i="6" s="1"/>
  <c r="AB276" i="6" s="1"/>
  <c r="AC276" i="6" s="1"/>
  <c r="AD276" i="6" s="1"/>
  <c r="AE276" i="6" s="1"/>
  <c r="AF276" i="6" s="1"/>
  <c r="AG276" i="6" s="1"/>
  <c r="AH276" i="6" s="1"/>
  <c r="AI276" i="6" s="1"/>
  <c r="AJ276" i="6" s="1"/>
  <c r="AK276" i="6" s="1"/>
  <c r="D275" i="6"/>
  <c r="E275" i="6" s="1"/>
  <c r="F275" i="6" s="1"/>
  <c r="G275" i="6" s="1"/>
  <c r="H275" i="6" s="1"/>
  <c r="I275" i="6" s="1"/>
  <c r="J275" i="6" s="1"/>
  <c r="K275" i="6" s="1"/>
  <c r="L275" i="6" s="1"/>
  <c r="M275" i="6" s="1"/>
  <c r="N275" i="6" s="1"/>
  <c r="O275" i="6" s="1"/>
  <c r="P275" i="6" s="1"/>
  <c r="Q275" i="6" s="1"/>
  <c r="R275" i="6" s="1"/>
  <c r="S275" i="6" s="1"/>
  <c r="T275" i="6" s="1"/>
  <c r="U275" i="6" s="1"/>
  <c r="V275" i="6" s="1"/>
  <c r="W275" i="6" s="1"/>
  <c r="X275" i="6" s="1"/>
  <c r="Y275" i="6" s="1"/>
  <c r="Z275" i="6" s="1"/>
  <c r="AA275" i="6" s="1"/>
  <c r="AB275" i="6" s="1"/>
  <c r="AC275" i="6" s="1"/>
  <c r="AD275" i="6" s="1"/>
  <c r="AE275" i="6" s="1"/>
  <c r="AF275" i="6" s="1"/>
  <c r="AG275" i="6" s="1"/>
  <c r="AH275" i="6" s="1"/>
  <c r="AI275" i="6" s="1"/>
  <c r="AJ275" i="6" s="1"/>
  <c r="AK275" i="6" s="1"/>
  <c r="D274" i="6"/>
  <c r="E274" i="6" s="1"/>
  <c r="F274" i="6" s="1"/>
  <c r="G274" i="6" s="1"/>
  <c r="H274" i="6" s="1"/>
  <c r="I274" i="6" s="1"/>
  <c r="J274" i="6" s="1"/>
  <c r="K274" i="6" s="1"/>
  <c r="L274" i="6" s="1"/>
  <c r="M274" i="6" s="1"/>
  <c r="N274" i="6" s="1"/>
  <c r="O274" i="6" s="1"/>
  <c r="P274" i="6" s="1"/>
  <c r="Q274" i="6" s="1"/>
  <c r="R274" i="6" s="1"/>
  <c r="S274" i="6" s="1"/>
  <c r="T274" i="6" s="1"/>
  <c r="U274" i="6" s="1"/>
  <c r="V274" i="6" s="1"/>
  <c r="W274" i="6" s="1"/>
  <c r="X274" i="6" s="1"/>
  <c r="Y274" i="6" s="1"/>
  <c r="Z274" i="6" s="1"/>
  <c r="AA274" i="6" s="1"/>
  <c r="AB274" i="6" s="1"/>
  <c r="AC274" i="6" s="1"/>
  <c r="AD274" i="6" s="1"/>
  <c r="AE274" i="6" s="1"/>
  <c r="AF274" i="6" s="1"/>
  <c r="AG274" i="6" s="1"/>
  <c r="AH274" i="6" s="1"/>
  <c r="AI274" i="6" s="1"/>
  <c r="AJ274" i="6" s="1"/>
  <c r="AK274" i="6" s="1"/>
  <c r="D273" i="6"/>
  <c r="E273" i="6" s="1"/>
  <c r="F273" i="6" s="1"/>
  <c r="G273" i="6" s="1"/>
  <c r="H273" i="6" s="1"/>
  <c r="I273" i="6" s="1"/>
  <c r="J273" i="6" s="1"/>
  <c r="K273" i="6" s="1"/>
  <c r="L273" i="6" s="1"/>
  <c r="M273" i="6" s="1"/>
  <c r="N273" i="6" s="1"/>
  <c r="O273" i="6" s="1"/>
  <c r="P273" i="6" s="1"/>
  <c r="Q273" i="6" s="1"/>
  <c r="R273" i="6" s="1"/>
  <c r="S273" i="6" s="1"/>
  <c r="T273" i="6" s="1"/>
  <c r="U273" i="6" s="1"/>
  <c r="V273" i="6" s="1"/>
  <c r="W273" i="6" s="1"/>
  <c r="X273" i="6" s="1"/>
  <c r="Y273" i="6" s="1"/>
  <c r="Z273" i="6" s="1"/>
  <c r="AA273" i="6" s="1"/>
  <c r="AB273" i="6" s="1"/>
  <c r="AC273" i="6" s="1"/>
  <c r="AD273" i="6" s="1"/>
  <c r="AE273" i="6" s="1"/>
  <c r="AF273" i="6" s="1"/>
  <c r="AG273" i="6" s="1"/>
  <c r="AH273" i="6" s="1"/>
  <c r="AI273" i="6" s="1"/>
  <c r="AJ273" i="6" s="1"/>
  <c r="AK273" i="6" s="1"/>
  <c r="D272" i="6"/>
  <c r="E272" i="6" s="1"/>
  <c r="F272" i="6" s="1"/>
  <c r="G272" i="6" s="1"/>
  <c r="H272" i="6" s="1"/>
  <c r="I272" i="6" s="1"/>
  <c r="J272" i="6" s="1"/>
  <c r="K272" i="6" s="1"/>
  <c r="L272" i="6" s="1"/>
  <c r="M272" i="6" s="1"/>
  <c r="N272" i="6" s="1"/>
  <c r="O272" i="6" s="1"/>
  <c r="P272" i="6" s="1"/>
  <c r="Q272" i="6" s="1"/>
  <c r="R272" i="6" s="1"/>
  <c r="S272" i="6" s="1"/>
  <c r="T272" i="6" s="1"/>
  <c r="U272" i="6" s="1"/>
  <c r="V272" i="6" s="1"/>
  <c r="W272" i="6" s="1"/>
  <c r="X272" i="6" s="1"/>
  <c r="Y272" i="6" s="1"/>
  <c r="Z272" i="6" s="1"/>
  <c r="AA272" i="6" s="1"/>
  <c r="AB272" i="6" s="1"/>
  <c r="AC272" i="6" s="1"/>
  <c r="AD272" i="6" s="1"/>
  <c r="AE272" i="6" s="1"/>
  <c r="AF272" i="6" s="1"/>
  <c r="AG272" i="6" s="1"/>
  <c r="AH272" i="6" s="1"/>
  <c r="AI272" i="6" s="1"/>
  <c r="AJ272" i="6" s="1"/>
  <c r="AK272" i="6" s="1"/>
  <c r="D271" i="6"/>
  <c r="E271" i="6" s="1"/>
  <c r="F271" i="6" s="1"/>
  <c r="G271" i="6" s="1"/>
  <c r="H271" i="6" s="1"/>
  <c r="I271" i="6" s="1"/>
  <c r="J271" i="6" s="1"/>
  <c r="K271" i="6" s="1"/>
  <c r="L271" i="6" s="1"/>
  <c r="M271" i="6" s="1"/>
  <c r="N271" i="6" s="1"/>
  <c r="O271" i="6" s="1"/>
  <c r="P271" i="6" s="1"/>
  <c r="Q271" i="6" s="1"/>
  <c r="R271" i="6" s="1"/>
  <c r="S271" i="6" s="1"/>
  <c r="T271" i="6" s="1"/>
  <c r="U271" i="6" s="1"/>
  <c r="V271" i="6" s="1"/>
  <c r="W271" i="6" s="1"/>
  <c r="X271" i="6" s="1"/>
  <c r="Y271" i="6" s="1"/>
  <c r="Z271" i="6" s="1"/>
  <c r="AA271" i="6" s="1"/>
  <c r="AB271" i="6" s="1"/>
  <c r="AC271" i="6" s="1"/>
  <c r="AD271" i="6" s="1"/>
  <c r="AE271" i="6" s="1"/>
  <c r="AF271" i="6" s="1"/>
  <c r="AG271" i="6" s="1"/>
  <c r="AH271" i="6" s="1"/>
  <c r="AI271" i="6" s="1"/>
  <c r="AJ271" i="6" s="1"/>
  <c r="AK271" i="6" s="1"/>
  <c r="D270" i="6"/>
  <c r="E270" i="6" s="1"/>
  <c r="F270" i="6" s="1"/>
  <c r="G270" i="6" s="1"/>
  <c r="H270" i="6" s="1"/>
  <c r="I270" i="6" s="1"/>
  <c r="J270" i="6" s="1"/>
  <c r="K270" i="6" s="1"/>
  <c r="L270" i="6" s="1"/>
  <c r="M270" i="6" s="1"/>
  <c r="N270" i="6" s="1"/>
  <c r="O270" i="6" s="1"/>
  <c r="P270" i="6" s="1"/>
  <c r="Q270" i="6" s="1"/>
  <c r="R270" i="6" s="1"/>
  <c r="S270" i="6" s="1"/>
  <c r="T270" i="6" s="1"/>
  <c r="U270" i="6" s="1"/>
  <c r="V270" i="6" s="1"/>
  <c r="W270" i="6" s="1"/>
  <c r="X270" i="6" s="1"/>
  <c r="Y270" i="6" s="1"/>
  <c r="Z270" i="6" s="1"/>
  <c r="AA270" i="6" s="1"/>
  <c r="AB270" i="6" s="1"/>
  <c r="AC270" i="6" s="1"/>
  <c r="AD270" i="6" s="1"/>
  <c r="AE270" i="6" s="1"/>
  <c r="AF270" i="6" s="1"/>
  <c r="AG270" i="6" s="1"/>
  <c r="AH270" i="6" s="1"/>
  <c r="AI270" i="6" s="1"/>
  <c r="AJ270" i="6" s="1"/>
  <c r="AK270" i="6" s="1"/>
  <c r="D269" i="6"/>
  <c r="E269" i="6" s="1"/>
  <c r="F269" i="6" s="1"/>
  <c r="G269" i="6" s="1"/>
  <c r="H269" i="6" s="1"/>
  <c r="I269" i="6" s="1"/>
  <c r="J269" i="6" s="1"/>
  <c r="K269" i="6" s="1"/>
  <c r="L269" i="6" s="1"/>
  <c r="M269" i="6" s="1"/>
  <c r="N269" i="6" s="1"/>
  <c r="O269" i="6" s="1"/>
  <c r="P269" i="6" s="1"/>
  <c r="Q269" i="6" s="1"/>
  <c r="R269" i="6" s="1"/>
  <c r="S269" i="6" s="1"/>
  <c r="T269" i="6" s="1"/>
  <c r="U269" i="6" s="1"/>
  <c r="V269" i="6" s="1"/>
  <c r="W269" i="6" s="1"/>
  <c r="X269" i="6" s="1"/>
  <c r="Y269" i="6" s="1"/>
  <c r="Z269" i="6" s="1"/>
  <c r="AA269" i="6" s="1"/>
  <c r="AB269" i="6" s="1"/>
  <c r="AC269" i="6" s="1"/>
  <c r="AD269" i="6" s="1"/>
  <c r="AE269" i="6" s="1"/>
  <c r="AF269" i="6" s="1"/>
  <c r="AG269" i="6" s="1"/>
  <c r="AH269" i="6" s="1"/>
  <c r="AI269" i="6" s="1"/>
  <c r="AJ269" i="6" s="1"/>
  <c r="AK269" i="6" s="1"/>
  <c r="D268" i="6"/>
  <c r="E268" i="6"/>
  <c r="F268" i="6"/>
  <c r="G268" i="6"/>
  <c r="H268" i="6"/>
  <c r="I268" i="6"/>
  <c r="J268" i="6"/>
  <c r="K268" i="6"/>
  <c r="L268" i="6" s="1"/>
  <c r="M268" i="6" s="1"/>
  <c r="N268" i="6" s="1"/>
  <c r="O268" i="6" s="1"/>
  <c r="P268" i="6" s="1"/>
  <c r="Q268" i="6" s="1"/>
  <c r="R268" i="6" s="1"/>
  <c r="S268" i="6" s="1"/>
  <c r="T268" i="6" s="1"/>
  <c r="U268" i="6" s="1"/>
  <c r="V268" i="6" s="1"/>
  <c r="W268" i="6" s="1"/>
  <c r="X268" i="6" s="1"/>
  <c r="Y268" i="6" s="1"/>
  <c r="Z268" i="6" s="1"/>
  <c r="AA268" i="6" s="1"/>
  <c r="AB268" i="6" s="1"/>
  <c r="AC268" i="6" s="1"/>
  <c r="AD268" i="6" s="1"/>
  <c r="AE268" i="6" s="1"/>
  <c r="AF268" i="6" s="1"/>
  <c r="AG268" i="6" s="1"/>
  <c r="AH268" i="6" s="1"/>
  <c r="AI268" i="6" s="1"/>
  <c r="AJ268" i="6" s="1"/>
  <c r="AK268" i="6" s="1"/>
  <c r="D267" i="6"/>
  <c r="E267" i="6"/>
  <c r="F267" i="6" s="1"/>
  <c r="G267" i="6" s="1"/>
  <c r="H267" i="6" s="1"/>
  <c r="I267" i="6" s="1"/>
  <c r="J267" i="6" s="1"/>
  <c r="K267" i="6" s="1"/>
  <c r="L267" i="6" s="1"/>
  <c r="M267" i="6" s="1"/>
  <c r="N267" i="6" s="1"/>
  <c r="O267" i="6" s="1"/>
  <c r="P267" i="6" s="1"/>
  <c r="Q267" i="6" s="1"/>
  <c r="R267" i="6" s="1"/>
  <c r="S267" i="6" s="1"/>
  <c r="T267" i="6" s="1"/>
  <c r="U267" i="6" s="1"/>
  <c r="V267" i="6" s="1"/>
  <c r="W267" i="6" s="1"/>
  <c r="X267" i="6" s="1"/>
  <c r="Y267" i="6" s="1"/>
  <c r="Z267" i="6" s="1"/>
  <c r="AA267" i="6" s="1"/>
  <c r="AB267" i="6" s="1"/>
  <c r="AC267" i="6" s="1"/>
  <c r="AD267" i="6" s="1"/>
  <c r="AE267" i="6" s="1"/>
  <c r="AF267" i="6" s="1"/>
  <c r="AG267" i="6" s="1"/>
  <c r="AH267" i="6" s="1"/>
  <c r="AI267" i="6" s="1"/>
  <c r="AJ267" i="6" s="1"/>
  <c r="AK267" i="6" s="1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D263" i="6"/>
  <c r="E263" i="6" s="1"/>
  <c r="F263" i="6" s="1"/>
  <c r="G263" i="6" s="1"/>
  <c r="H263" i="6" s="1"/>
  <c r="I263" i="6" s="1"/>
  <c r="J263" i="6" s="1"/>
  <c r="K263" i="6" s="1"/>
  <c r="L263" i="6" s="1"/>
  <c r="M263" i="6" s="1"/>
  <c r="N263" i="6" s="1"/>
  <c r="O263" i="6" s="1"/>
  <c r="P263" i="6" s="1"/>
  <c r="Q263" i="6" s="1"/>
  <c r="R263" i="6" s="1"/>
  <c r="S263" i="6" s="1"/>
  <c r="T263" i="6" s="1"/>
  <c r="U263" i="6" s="1"/>
  <c r="V263" i="6" s="1"/>
  <c r="W263" i="6" s="1"/>
  <c r="X263" i="6" s="1"/>
  <c r="Y263" i="6" s="1"/>
  <c r="Z263" i="6" s="1"/>
  <c r="AA263" i="6" s="1"/>
  <c r="AB263" i="6" s="1"/>
  <c r="AC263" i="6" s="1"/>
  <c r="AD263" i="6" s="1"/>
  <c r="AE263" i="6" s="1"/>
  <c r="AF263" i="6" s="1"/>
  <c r="AG263" i="6" s="1"/>
  <c r="AH263" i="6" s="1"/>
  <c r="AI263" i="6" s="1"/>
  <c r="AJ263" i="6" s="1"/>
  <c r="AK263" i="6" s="1"/>
  <c r="D262" i="6"/>
  <c r="E262" i="6"/>
  <c r="F262" i="6"/>
  <c r="G262" i="6" s="1"/>
  <c r="H262" i="6" s="1"/>
  <c r="I262" i="6" s="1"/>
  <c r="J262" i="6" s="1"/>
  <c r="K262" i="6" s="1"/>
  <c r="L262" i="6" s="1"/>
  <c r="M262" i="6" s="1"/>
  <c r="N262" i="6" s="1"/>
  <c r="O262" i="6" s="1"/>
  <c r="P262" i="6" s="1"/>
  <c r="Q262" i="6" s="1"/>
  <c r="R262" i="6" s="1"/>
  <c r="S262" i="6" s="1"/>
  <c r="T262" i="6" s="1"/>
  <c r="U262" i="6" s="1"/>
  <c r="V262" i="6" s="1"/>
  <c r="W262" i="6" s="1"/>
  <c r="X262" i="6" s="1"/>
  <c r="Y262" i="6" s="1"/>
  <c r="Z262" i="6" s="1"/>
  <c r="AA262" i="6" s="1"/>
  <c r="AB262" i="6" s="1"/>
  <c r="AC262" i="6" s="1"/>
  <c r="AD262" i="6" s="1"/>
  <c r="AE262" i="6" s="1"/>
  <c r="AF262" i="6" s="1"/>
  <c r="AG262" i="6" s="1"/>
  <c r="AH262" i="6" s="1"/>
  <c r="AI262" i="6" s="1"/>
  <c r="AJ262" i="6" s="1"/>
  <c r="AK262" i="6" s="1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D260" i="6"/>
  <c r="E260" i="6"/>
  <c r="F260" i="6" s="1"/>
  <c r="G260" i="6" s="1"/>
  <c r="H260" i="6" s="1"/>
  <c r="I260" i="6" s="1"/>
  <c r="J260" i="6" s="1"/>
  <c r="K260" i="6" s="1"/>
  <c r="L260" i="6" s="1"/>
  <c r="M260" i="6" s="1"/>
  <c r="N260" i="6" s="1"/>
  <c r="O260" i="6" s="1"/>
  <c r="P260" i="6" s="1"/>
  <c r="Q260" i="6" s="1"/>
  <c r="R260" i="6" s="1"/>
  <c r="S260" i="6" s="1"/>
  <c r="T260" i="6" s="1"/>
  <c r="U260" i="6" s="1"/>
  <c r="V260" i="6" s="1"/>
  <c r="W260" i="6" s="1"/>
  <c r="X260" i="6" s="1"/>
  <c r="Y260" i="6" s="1"/>
  <c r="Z260" i="6" s="1"/>
  <c r="AA260" i="6" s="1"/>
  <c r="AB260" i="6" s="1"/>
  <c r="AC260" i="6" s="1"/>
  <c r="AD260" i="6" s="1"/>
  <c r="AE260" i="6" s="1"/>
  <c r="AF260" i="6" s="1"/>
  <c r="AG260" i="6" s="1"/>
  <c r="AH260" i="6" s="1"/>
  <c r="AI260" i="6" s="1"/>
  <c r="AJ260" i="6" s="1"/>
  <c r="AK260" i="6" s="1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D256" i="6"/>
  <c r="E256" i="6"/>
  <c r="F256" i="6" s="1"/>
  <c r="G256" i="6" s="1"/>
  <c r="H256" i="6" s="1"/>
  <c r="I256" i="6" s="1"/>
  <c r="J256" i="6" s="1"/>
  <c r="K256" i="6" s="1"/>
  <c r="L256" i="6" s="1"/>
  <c r="M256" i="6" s="1"/>
  <c r="N256" i="6" s="1"/>
  <c r="O256" i="6" s="1"/>
  <c r="P256" i="6" s="1"/>
  <c r="Q256" i="6" s="1"/>
  <c r="R256" i="6" s="1"/>
  <c r="S256" i="6" s="1"/>
  <c r="T256" i="6" s="1"/>
  <c r="U256" i="6" s="1"/>
  <c r="V256" i="6" s="1"/>
  <c r="W256" i="6" s="1"/>
  <c r="X256" i="6" s="1"/>
  <c r="Y256" i="6" s="1"/>
  <c r="Z256" i="6" s="1"/>
  <c r="AA256" i="6" s="1"/>
  <c r="AB256" i="6" s="1"/>
  <c r="AC256" i="6" s="1"/>
  <c r="AD256" i="6" s="1"/>
  <c r="AE256" i="6" s="1"/>
  <c r="AF256" i="6" s="1"/>
  <c r="AG256" i="6" s="1"/>
  <c r="AH256" i="6" s="1"/>
  <c r="AI256" i="6" s="1"/>
  <c r="AJ256" i="6" s="1"/>
  <c r="AK256" i="6" s="1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 s="1"/>
  <c r="S254" i="6" s="1"/>
  <c r="T254" i="6" s="1"/>
  <c r="U254" i="6" s="1"/>
  <c r="V254" i="6" s="1"/>
  <c r="W254" i="6" s="1"/>
  <c r="X254" i="6" s="1"/>
  <c r="Y254" i="6" s="1"/>
  <c r="Z254" i="6" s="1"/>
  <c r="AA254" i="6" s="1"/>
  <c r="AB254" i="6" s="1"/>
  <c r="AC254" i="6" s="1"/>
  <c r="AD254" i="6" s="1"/>
  <c r="AE254" i="6" s="1"/>
  <c r="AF254" i="6" s="1"/>
  <c r="AG254" i="6" s="1"/>
  <c r="AH254" i="6" s="1"/>
  <c r="AI254" i="6" s="1"/>
  <c r="AJ254" i="6" s="1"/>
  <c r="AK254" i="6" s="1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 s="1"/>
  <c r="S246" i="6" s="1"/>
  <c r="T246" i="6" s="1"/>
  <c r="U246" i="6" s="1"/>
  <c r="V246" i="6" s="1"/>
  <c r="W246" i="6" s="1"/>
  <c r="X246" i="6" s="1"/>
  <c r="Y246" i="6" s="1"/>
  <c r="Z246" i="6" s="1"/>
  <c r="AA246" i="6" s="1"/>
  <c r="AB246" i="6" s="1"/>
  <c r="AC246" i="6" s="1"/>
  <c r="AD246" i="6" s="1"/>
  <c r="AE246" i="6" s="1"/>
  <c r="AF246" i="6" s="1"/>
  <c r="AG246" i="6" s="1"/>
  <c r="AH246" i="6" s="1"/>
  <c r="AI246" i="6" s="1"/>
  <c r="AJ246" i="6" s="1"/>
  <c r="AK246" i="6" s="1"/>
  <c r="D245" i="6"/>
  <c r="E245" i="6"/>
  <c r="F245" i="6"/>
  <c r="G245" i="6"/>
  <c r="H245" i="6"/>
  <c r="I245" i="6"/>
  <c r="J245" i="6" s="1"/>
  <c r="K245" i="6" s="1"/>
  <c r="L245" i="6" s="1"/>
  <c r="M245" i="6" s="1"/>
  <c r="N245" i="6" s="1"/>
  <c r="O245" i="6" s="1"/>
  <c r="P245" i="6" s="1"/>
  <c r="Q245" i="6" s="1"/>
  <c r="R245" i="6" s="1"/>
  <c r="S245" i="6" s="1"/>
  <c r="T245" i="6" s="1"/>
  <c r="U245" i="6" s="1"/>
  <c r="V245" i="6" s="1"/>
  <c r="W245" i="6" s="1"/>
  <c r="X245" i="6" s="1"/>
  <c r="Y245" i="6" s="1"/>
  <c r="Z245" i="6" s="1"/>
  <c r="AA245" i="6" s="1"/>
  <c r="AB245" i="6" s="1"/>
  <c r="AC245" i="6" s="1"/>
  <c r="AD245" i="6" s="1"/>
  <c r="AE245" i="6" s="1"/>
  <c r="AF245" i="6" s="1"/>
  <c r="AG245" i="6" s="1"/>
  <c r="AH245" i="6" s="1"/>
  <c r="AI245" i="6" s="1"/>
  <c r="AJ245" i="6" s="1"/>
  <c r="AK245" i="6" s="1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D243" i="6"/>
  <c r="E243" i="6" s="1"/>
  <c r="F243" i="6" s="1"/>
  <c r="G243" i="6" s="1"/>
  <c r="H243" i="6" s="1"/>
  <c r="I243" i="6" s="1"/>
  <c r="J243" i="6" s="1"/>
  <c r="K243" i="6" s="1"/>
  <c r="L243" i="6" s="1"/>
  <c r="M243" i="6" s="1"/>
  <c r="N243" i="6" s="1"/>
  <c r="O243" i="6" s="1"/>
  <c r="P243" i="6" s="1"/>
  <c r="Q243" i="6" s="1"/>
  <c r="R243" i="6" s="1"/>
  <c r="S243" i="6" s="1"/>
  <c r="T243" i="6" s="1"/>
  <c r="U243" i="6" s="1"/>
  <c r="V243" i="6" s="1"/>
  <c r="W243" i="6" s="1"/>
  <c r="X243" i="6" s="1"/>
  <c r="Y243" i="6" s="1"/>
  <c r="Z243" i="6" s="1"/>
  <c r="AA243" i="6" s="1"/>
  <c r="AB243" i="6" s="1"/>
  <c r="AC243" i="6" s="1"/>
  <c r="AD243" i="6" s="1"/>
  <c r="AE243" i="6" s="1"/>
  <c r="AF243" i="6" s="1"/>
  <c r="AG243" i="6" s="1"/>
  <c r="AH243" i="6" s="1"/>
  <c r="AI243" i="6" s="1"/>
  <c r="AJ243" i="6" s="1"/>
  <c r="AK243" i="6" s="1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D237" i="6"/>
  <c r="E237" i="6"/>
  <c r="F237" i="6"/>
  <c r="G237" i="6"/>
  <c r="H237" i="6"/>
  <c r="I237" i="6" s="1"/>
  <c r="J237" i="6" s="1"/>
  <c r="K237" i="6" s="1"/>
  <c r="L237" i="6" s="1"/>
  <c r="M237" i="6" s="1"/>
  <c r="N237" i="6" s="1"/>
  <c r="O237" i="6" s="1"/>
  <c r="P237" i="6" s="1"/>
  <c r="Q237" i="6" s="1"/>
  <c r="R237" i="6" s="1"/>
  <c r="S237" i="6" s="1"/>
  <c r="T237" i="6" s="1"/>
  <c r="U237" i="6" s="1"/>
  <c r="V237" i="6" s="1"/>
  <c r="W237" i="6" s="1"/>
  <c r="X237" i="6" s="1"/>
  <c r="Y237" i="6" s="1"/>
  <c r="Z237" i="6" s="1"/>
  <c r="AA237" i="6" s="1"/>
  <c r="AB237" i="6" s="1"/>
  <c r="AC237" i="6" s="1"/>
  <c r="AD237" i="6" s="1"/>
  <c r="AE237" i="6" s="1"/>
  <c r="AF237" i="6" s="1"/>
  <c r="AG237" i="6" s="1"/>
  <c r="AH237" i="6" s="1"/>
  <c r="AI237" i="6" s="1"/>
  <c r="AJ237" i="6" s="1"/>
  <c r="AK237" i="6" s="1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 s="1"/>
  <c r="AI236" i="6" s="1"/>
  <c r="AJ236" i="6" s="1"/>
  <c r="AK236" i="6" s="1"/>
  <c r="D235" i="6"/>
  <c r="E235" i="6" s="1"/>
  <c r="F235" i="6" s="1"/>
  <c r="G235" i="6" s="1"/>
  <c r="H235" i="6" s="1"/>
  <c r="I235" i="6" s="1"/>
  <c r="J235" i="6" s="1"/>
  <c r="K235" i="6" s="1"/>
  <c r="L235" i="6" s="1"/>
  <c r="M235" i="6" s="1"/>
  <c r="N235" i="6" s="1"/>
  <c r="O235" i="6" s="1"/>
  <c r="P235" i="6" s="1"/>
  <c r="Q235" i="6" s="1"/>
  <c r="R235" i="6" s="1"/>
  <c r="S235" i="6" s="1"/>
  <c r="T235" i="6" s="1"/>
  <c r="U235" i="6" s="1"/>
  <c r="V235" i="6" s="1"/>
  <c r="W235" i="6" s="1"/>
  <c r="X235" i="6" s="1"/>
  <c r="Y235" i="6" s="1"/>
  <c r="Z235" i="6" s="1"/>
  <c r="AA235" i="6" s="1"/>
  <c r="AB235" i="6" s="1"/>
  <c r="AC235" i="6" s="1"/>
  <c r="AD235" i="6" s="1"/>
  <c r="AE235" i="6" s="1"/>
  <c r="AF235" i="6" s="1"/>
  <c r="AG235" i="6" s="1"/>
  <c r="AH235" i="6" s="1"/>
  <c r="AI235" i="6" s="1"/>
  <c r="AJ235" i="6" s="1"/>
  <c r="AK235" i="6" s="1"/>
  <c r="D234" i="6"/>
  <c r="E234" i="6" s="1"/>
  <c r="F234" i="6" s="1"/>
  <c r="G234" i="6" s="1"/>
  <c r="H234" i="6" s="1"/>
  <c r="I234" i="6" s="1"/>
  <c r="J234" i="6" s="1"/>
  <c r="K234" i="6" s="1"/>
  <c r="L234" i="6" s="1"/>
  <c r="M234" i="6" s="1"/>
  <c r="N234" i="6" s="1"/>
  <c r="O234" i="6" s="1"/>
  <c r="P234" i="6" s="1"/>
  <c r="Q234" i="6" s="1"/>
  <c r="R234" i="6" s="1"/>
  <c r="S234" i="6" s="1"/>
  <c r="T234" i="6" s="1"/>
  <c r="U234" i="6" s="1"/>
  <c r="V234" i="6" s="1"/>
  <c r="W234" i="6" s="1"/>
  <c r="X234" i="6" s="1"/>
  <c r="Y234" i="6" s="1"/>
  <c r="Z234" i="6" s="1"/>
  <c r="AA234" i="6" s="1"/>
  <c r="AB234" i="6" s="1"/>
  <c r="AC234" i="6" s="1"/>
  <c r="AD234" i="6" s="1"/>
  <c r="AE234" i="6" s="1"/>
  <c r="AF234" i="6" s="1"/>
  <c r="AG234" i="6" s="1"/>
  <c r="AH234" i="6" s="1"/>
  <c r="AI234" i="6" s="1"/>
  <c r="AJ234" i="6" s="1"/>
  <c r="AK234" i="6" s="1"/>
  <c r="D233" i="6"/>
  <c r="E233" i="6" s="1"/>
  <c r="F233" i="6" s="1"/>
  <c r="G233" i="6" s="1"/>
  <c r="H233" i="6" s="1"/>
  <c r="I233" i="6" s="1"/>
  <c r="J233" i="6" s="1"/>
  <c r="K233" i="6" s="1"/>
  <c r="L233" i="6" s="1"/>
  <c r="M233" i="6" s="1"/>
  <c r="N233" i="6" s="1"/>
  <c r="O233" i="6" s="1"/>
  <c r="P233" i="6" s="1"/>
  <c r="Q233" i="6" s="1"/>
  <c r="R233" i="6" s="1"/>
  <c r="S233" i="6" s="1"/>
  <c r="T233" i="6" s="1"/>
  <c r="U233" i="6" s="1"/>
  <c r="V233" i="6" s="1"/>
  <c r="W233" i="6" s="1"/>
  <c r="X233" i="6" s="1"/>
  <c r="Y233" i="6" s="1"/>
  <c r="Z233" i="6" s="1"/>
  <c r="AA233" i="6" s="1"/>
  <c r="AB233" i="6" s="1"/>
  <c r="AC233" i="6" s="1"/>
  <c r="AD233" i="6" s="1"/>
  <c r="AE233" i="6" s="1"/>
  <c r="AF233" i="6" s="1"/>
  <c r="AG233" i="6" s="1"/>
  <c r="AH233" i="6" s="1"/>
  <c r="AI233" i="6" s="1"/>
  <c r="AJ233" i="6" s="1"/>
  <c r="AK233" i="6" s="1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D228" i="6"/>
  <c r="E228" i="6"/>
  <c r="F228" i="6"/>
  <c r="G228" i="6"/>
  <c r="H228" i="6" s="1"/>
  <c r="I228" i="6" s="1"/>
  <c r="J228" i="6" s="1"/>
  <c r="K228" i="6" s="1"/>
  <c r="L228" i="6" s="1"/>
  <c r="M228" i="6" s="1"/>
  <c r="N228" i="6" s="1"/>
  <c r="O228" i="6" s="1"/>
  <c r="P228" i="6" s="1"/>
  <c r="Q228" i="6" s="1"/>
  <c r="R228" i="6" s="1"/>
  <c r="S228" i="6" s="1"/>
  <c r="T228" i="6" s="1"/>
  <c r="U228" i="6" s="1"/>
  <c r="V228" i="6" s="1"/>
  <c r="W228" i="6" s="1"/>
  <c r="X228" i="6" s="1"/>
  <c r="Y228" i="6" s="1"/>
  <c r="Z228" i="6" s="1"/>
  <c r="AA228" i="6" s="1"/>
  <c r="AB228" i="6" s="1"/>
  <c r="AC228" i="6" s="1"/>
  <c r="AD228" i="6" s="1"/>
  <c r="AE228" i="6" s="1"/>
  <c r="AF228" i="6" s="1"/>
  <c r="AG228" i="6" s="1"/>
  <c r="AH228" i="6" s="1"/>
  <c r="AI228" i="6" s="1"/>
  <c r="AJ228" i="6" s="1"/>
  <c r="AK228" i="6" s="1"/>
  <c r="D227" i="6"/>
  <c r="E227" i="6" s="1"/>
  <c r="F227" i="6" s="1"/>
  <c r="G227" i="6" s="1"/>
  <c r="H227" i="6" s="1"/>
  <c r="I227" i="6" s="1"/>
  <c r="J227" i="6" s="1"/>
  <c r="K227" i="6" s="1"/>
  <c r="L227" i="6" s="1"/>
  <c r="M227" i="6" s="1"/>
  <c r="N227" i="6" s="1"/>
  <c r="O227" i="6" s="1"/>
  <c r="P227" i="6" s="1"/>
  <c r="Q227" i="6" s="1"/>
  <c r="R227" i="6" s="1"/>
  <c r="S227" i="6" s="1"/>
  <c r="T227" i="6" s="1"/>
  <c r="U227" i="6" s="1"/>
  <c r="V227" i="6" s="1"/>
  <c r="W227" i="6" s="1"/>
  <c r="X227" i="6" s="1"/>
  <c r="Y227" i="6" s="1"/>
  <c r="Z227" i="6" s="1"/>
  <c r="AA227" i="6" s="1"/>
  <c r="AB227" i="6" s="1"/>
  <c r="AC227" i="6" s="1"/>
  <c r="AD227" i="6" s="1"/>
  <c r="AE227" i="6" s="1"/>
  <c r="AF227" i="6" s="1"/>
  <c r="AG227" i="6" s="1"/>
  <c r="AH227" i="6" s="1"/>
  <c r="AI227" i="6" s="1"/>
  <c r="AJ227" i="6" s="1"/>
  <c r="AK227" i="6" s="1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D221" i="6"/>
  <c r="E221" i="6" s="1"/>
  <c r="F221" i="6" s="1"/>
  <c r="G221" i="6" s="1"/>
  <c r="H221" i="6" s="1"/>
  <c r="I221" i="6" s="1"/>
  <c r="J221" i="6" s="1"/>
  <c r="K221" i="6" s="1"/>
  <c r="L221" i="6" s="1"/>
  <c r="M221" i="6" s="1"/>
  <c r="N221" i="6" s="1"/>
  <c r="O221" i="6" s="1"/>
  <c r="P221" i="6" s="1"/>
  <c r="Q221" i="6" s="1"/>
  <c r="R221" i="6" s="1"/>
  <c r="S221" i="6" s="1"/>
  <c r="T221" i="6" s="1"/>
  <c r="U221" i="6" s="1"/>
  <c r="V221" i="6" s="1"/>
  <c r="W221" i="6" s="1"/>
  <c r="X221" i="6" s="1"/>
  <c r="Y221" i="6" s="1"/>
  <c r="Z221" i="6" s="1"/>
  <c r="AA221" i="6" s="1"/>
  <c r="AB221" i="6" s="1"/>
  <c r="AC221" i="6" s="1"/>
  <c r="AD221" i="6" s="1"/>
  <c r="AE221" i="6" s="1"/>
  <c r="AF221" i="6" s="1"/>
  <c r="AG221" i="6" s="1"/>
  <c r="AH221" i="6" s="1"/>
  <c r="AI221" i="6" s="1"/>
  <c r="AJ221" i="6" s="1"/>
  <c r="AK221" i="6" s="1"/>
  <c r="D220" i="6"/>
  <c r="E220" i="6" s="1"/>
  <c r="F220" i="6" s="1"/>
  <c r="G220" i="6" s="1"/>
  <c r="H220" i="6" s="1"/>
  <c r="I220" i="6" s="1"/>
  <c r="J220" i="6" s="1"/>
  <c r="K220" i="6" s="1"/>
  <c r="L220" i="6" s="1"/>
  <c r="M220" i="6" s="1"/>
  <c r="N220" i="6" s="1"/>
  <c r="O220" i="6" s="1"/>
  <c r="P220" i="6" s="1"/>
  <c r="Q220" i="6" s="1"/>
  <c r="R220" i="6" s="1"/>
  <c r="S220" i="6" s="1"/>
  <c r="T220" i="6" s="1"/>
  <c r="U220" i="6" s="1"/>
  <c r="V220" i="6" s="1"/>
  <c r="W220" i="6" s="1"/>
  <c r="X220" i="6" s="1"/>
  <c r="Y220" i="6" s="1"/>
  <c r="Z220" i="6" s="1"/>
  <c r="AA220" i="6" s="1"/>
  <c r="AB220" i="6" s="1"/>
  <c r="AC220" i="6" s="1"/>
  <c r="AD220" i="6" s="1"/>
  <c r="AE220" i="6" s="1"/>
  <c r="AF220" i="6" s="1"/>
  <c r="AG220" i="6" s="1"/>
  <c r="AH220" i="6" s="1"/>
  <c r="AI220" i="6" s="1"/>
  <c r="AJ220" i="6" s="1"/>
  <c r="AK220" i="6" s="1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AJ215" i="6"/>
  <c r="AK215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D213" i="6"/>
  <c r="E213" i="6" s="1"/>
  <c r="F213" i="6" s="1"/>
  <c r="G213" i="6" s="1"/>
  <c r="H213" i="6" s="1"/>
  <c r="I213" i="6" s="1"/>
  <c r="J213" i="6" s="1"/>
  <c r="K213" i="6" s="1"/>
  <c r="L213" i="6" s="1"/>
  <c r="M213" i="6" s="1"/>
  <c r="N213" i="6" s="1"/>
  <c r="O213" i="6" s="1"/>
  <c r="P213" i="6" s="1"/>
  <c r="Q213" i="6" s="1"/>
  <c r="R213" i="6" s="1"/>
  <c r="S213" i="6" s="1"/>
  <c r="T213" i="6" s="1"/>
  <c r="U213" i="6" s="1"/>
  <c r="V213" i="6" s="1"/>
  <c r="W213" i="6" s="1"/>
  <c r="X213" i="6" s="1"/>
  <c r="Y213" i="6" s="1"/>
  <c r="Z213" i="6" s="1"/>
  <c r="AA213" i="6" s="1"/>
  <c r="AB213" i="6" s="1"/>
  <c r="AC213" i="6" s="1"/>
  <c r="AD213" i="6" s="1"/>
  <c r="AE213" i="6" s="1"/>
  <c r="AF213" i="6" s="1"/>
  <c r="AG213" i="6" s="1"/>
  <c r="AH213" i="6" s="1"/>
  <c r="AI213" i="6" s="1"/>
  <c r="AJ213" i="6" s="1"/>
  <c r="AK213" i="6" s="1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AJ212" i="6"/>
  <c r="AK212" i="6"/>
  <c r="D211" i="6"/>
  <c r="E211" i="6"/>
  <c r="F211" i="6"/>
  <c r="G211" i="6" s="1"/>
  <c r="H211" i="6" s="1"/>
  <c r="I211" i="6" s="1"/>
  <c r="J211" i="6" s="1"/>
  <c r="K211" i="6" s="1"/>
  <c r="L211" i="6" s="1"/>
  <c r="M211" i="6" s="1"/>
  <c r="N211" i="6" s="1"/>
  <c r="O211" i="6" s="1"/>
  <c r="P211" i="6" s="1"/>
  <c r="Q211" i="6" s="1"/>
  <c r="R211" i="6" s="1"/>
  <c r="S211" i="6" s="1"/>
  <c r="T211" i="6" s="1"/>
  <c r="U211" i="6" s="1"/>
  <c r="V211" i="6" s="1"/>
  <c r="W211" i="6" s="1"/>
  <c r="X211" i="6" s="1"/>
  <c r="Y211" i="6" s="1"/>
  <c r="Z211" i="6" s="1"/>
  <c r="AA211" i="6" s="1"/>
  <c r="AB211" i="6" s="1"/>
  <c r="AC211" i="6" s="1"/>
  <c r="AD211" i="6" s="1"/>
  <c r="AE211" i="6" s="1"/>
  <c r="AF211" i="6" s="1"/>
  <c r="AG211" i="6" s="1"/>
  <c r="AH211" i="6" s="1"/>
  <c r="AI211" i="6" s="1"/>
  <c r="AJ211" i="6" s="1"/>
  <c r="AK211" i="6" s="1"/>
  <c r="D210" i="6"/>
  <c r="E210" i="6" s="1"/>
  <c r="F210" i="6" s="1"/>
  <c r="G210" i="6" s="1"/>
  <c r="H210" i="6" s="1"/>
  <c r="I210" i="6" s="1"/>
  <c r="J210" i="6" s="1"/>
  <c r="K210" i="6" s="1"/>
  <c r="L210" i="6" s="1"/>
  <c r="M210" i="6" s="1"/>
  <c r="N210" i="6" s="1"/>
  <c r="O210" i="6" s="1"/>
  <c r="P210" i="6" s="1"/>
  <c r="Q210" i="6" s="1"/>
  <c r="R210" i="6" s="1"/>
  <c r="S210" i="6" s="1"/>
  <c r="T210" i="6" s="1"/>
  <c r="U210" i="6" s="1"/>
  <c r="V210" i="6" s="1"/>
  <c r="W210" i="6" s="1"/>
  <c r="X210" i="6" s="1"/>
  <c r="Y210" i="6" s="1"/>
  <c r="Z210" i="6" s="1"/>
  <c r="AA210" i="6" s="1"/>
  <c r="AB210" i="6" s="1"/>
  <c r="AC210" i="6" s="1"/>
  <c r="AD210" i="6" s="1"/>
  <c r="AE210" i="6" s="1"/>
  <c r="AF210" i="6" s="1"/>
  <c r="AG210" i="6" s="1"/>
  <c r="AH210" i="6" s="1"/>
  <c r="AI210" i="6" s="1"/>
  <c r="AJ210" i="6" s="1"/>
  <c r="AK210" i="6" s="1"/>
  <c r="D209" i="6"/>
  <c r="E209" i="6" s="1"/>
  <c r="F209" i="6" s="1"/>
  <c r="G209" i="6" s="1"/>
  <c r="H209" i="6" s="1"/>
  <c r="I209" i="6" s="1"/>
  <c r="J209" i="6" s="1"/>
  <c r="K209" i="6" s="1"/>
  <c r="L209" i="6" s="1"/>
  <c r="M209" i="6" s="1"/>
  <c r="N209" i="6" s="1"/>
  <c r="O209" i="6" s="1"/>
  <c r="P209" i="6" s="1"/>
  <c r="Q209" i="6" s="1"/>
  <c r="R209" i="6" s="1"/>
  <c r="S209" i="6" s="1"/>
  <c r="T209" i="6" s="1"/>
  <c r="U209" i="6" s="1"/>
  <c r="V209" i="6" s="1"/>
  <c r="W209" i="6" s="1"/>
  <c r="X209" i="6" s="1"/>
  <c r="Y209" i="6" s="1"/>
  <c r="Z209" i="6" s="1"/>
  <c r="AA209" i="6" s="1"/>
  <c r="AB209" i="6" s="1"/>
  <c r="AC209" i="6" s="1"/>
  <c r="AD209" i="6" s="1"/>
  <c r="AE209" i="6" s="1"/>
  <c r="AF209" i="6" s="1"/>
  <c r="AG209" i="6" s="1"/>
  <c r="AH209" i="6" s="1"/>
  <c r="AI209" i="6" s="1"/>
  <c r="AJ209" i="6" s="1"/>
  <c r="AK209" i="6" s="1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AJ208" i="6"/>
  <c r="AK208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AJ207" i="6"/>
  <c r="AK207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AJ205" i="6"/>
  <c r="AK205" i="6"/>
  <c r="D204" i="6"/>
  <c r="E204" i="6" s="1"/>
  <c r="F204" i="6" s="1"/>
  <c r="G204" i="6" s="1"/>
  <c r="H204" i="6" s="1"/>
  <c r="I204" i="6" s="1"/>
  <c r="J204" i="6" s="1"/>
  <c r="K204" i="6" s="1"/>
  <c r="L204" i="6" s="1"/>
  <c r="M204" i="6" s="1"/>
  <c r="N204" i="6" s="1"/>
  <c r="O204" i="6" s="1"/>
  <c r="P204" i="6" s="1"/>
  <c r="Q204" i="6" s="1"/>
  <c r="R204" i="6" s="1"/>
  <c r="S204" i="6" s="1"/>
  <c r="T204" i="6" s="1"/>
  <c r="U204" i="6" s="1"/>
  <c r="V204" i="6" s="1"/>
  <c r="W204" i="6" s="1"/>
  <c r="X204" i="6" s="1"/>
  <c r="Y204" i="6" s="1"/>
  <c r="Z204" i="6" s="1"/>
  <c r="AA204" i="6" s="1"/>
  <c r="AB204" i="6" s="1"/>
  <c r="AC204" i="6" s="1"/>
  <c r="AD204" i="6" s="1"/>
  <c r="AE204" i="6" s="1"/>
  <c r="AF204" i="6" s="1"/>
  <c r="AG204" i="6" s="1"/>
  <c r="AH204" i="6" s="1"/>
  <c r="AI204" i="6" s="1"/>
  <c r="AJ204" i="6" s="1"/>
  <c r="AK204" i="6" s="1"/>
  <c r="D203" i="6"/>
  <c r="E203" i="6" s="1"/>
  <c r="F203" i="6" s="1"/>
  <c r="G203" i="6" s="1"/>
  <c r="H203" i="6" s="1"/>
  <c r="I203" i="6" s="1"/>
  <c r="J203" i="6" s="1"/>
  <c r="K203" i="6" s="1"/>
  <c r="L203" i="6" s="1"/>
  <c r="M203" i="6" s="1"/>
  <c r="N203" i="6" s="1"/>
  <c r="O203" i="6" s="1"/>
  <c r="P203" i="6" s="1"/>
  <c r="Q203" i="6" s="1"/>
  <c r="R203" i="6" s="1"/>
  <c r="S203" i="6" s="1"/>
  <c r="T203" i="6" s="1"/>
  <c r="U203" i="6" s="1"/>
  <c r="V203" i="6" s="1"/>
  <c r="W203" i="6" s="1"/>
  <c r="X203" i="6" s="1"/>
  <c r="Y203" i="6" s="1"/>
  <c r="Z203" i="6" s="1"/>
  <c r="AA203" i="6" s="1"/>
  <c r="AB203" i="6" s="1"/>
  <c r="AC203" i="6" s="1"/>
  <c r="AD203" i="6" s="1"/>
  <c r="AE203" i="6" s="1"/>
  <c r="AF203" i="6" s="1"/>
  <c r="AG203" i="6" s="1"/>
  <c r="AH203" i="6" s="1"/>
  <c r="AI203" i="6" s="1"/>
  <c r="AJ203" i="6" s="1"/>
  <c r="AK203" i="6" s="1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AJ202" i="6"/>
  <c r="AK202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AJ201" i="6"/>
  <c r="AK201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D199" i="6"/>
  <c r="E199" i="6" s="1"/>
  <c r="F199" i="6" s="1"/>
  <c r="G199" i="6" s="1"/>
  <c r="H199" i="6" s="1"/>
  <c r="I199" i="6" s="1"/>
  <c r="J199" i="6" s="1"/>
  <c r="K199" i="6" s="1"/>
  <c r="L199" i="6" s="1"/>
  <c r="M199" i="6" s="1"/>
  <c r="N199" i="6" s="1"/>
  <c r="O199" i="6" s="1"/>
  <c r="P199" i="6" s="1"/>
  <c r="Q199" i="6" s="1"/>
  <c r="R199" i="6" s="1"/>
  <c r="S199" i="6" s="1"/>
  <c r="T199" i="6" s="1"/>
  <c r="U199" i="6" s="1"/>
  <c r="V199" i="6" s="1"/>
  <c r="W199" i="6" s="1"/>
  <c r="X199" i="6" s="1"/>
  <c r="Y199" i="6" s="1"/>
  <c r="Z199" i="6" s="1"/>
  <c r="AA199" i="6" s="1"/>
  <c r="AB199" i="6" s="1"/>
  <c r="AC199" i="6" s="1"/>
  <c r="AD199" i="6" s="1"/>
  <c r="AE199" i="6" s="1"/>
  <c r="AF199" i="6" s="1"/>
  <c r="AG199" i="6" s="1"/>
  <c r="AH199" i="6" s="1"/>
  <c r="AI199" i="6" s="1"/>
  <c r="AJ199" i="6" s="1"/>
  <c r="AK199" i="6" s="1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D197" i="6"/>
  <c r="E197" i="6" s="1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A197" i="6" s="1"/>
  <c r="AB197" i="6" s="1"/>
  <c r="AC197" i="6" s="1"/>
  <c r="AD197" i="6" s="1"/>
  <c r="AE197" i="6" s="1"/>
  <c r="AF197" i="6" s="1"/>
  <c r="AG197" i="6" s="1"/>
  <c r="AH197" i="6" s="1"/>
  <c r="AI197" i="6" s="1"/>
  <c r="AJ197" i="6" s="1"/>
  <c r="AK197" i="6" s="1"/>
  <c r="E196" i="6"/>
  <c r="F196" i="6"/>
  <c r="G196" i="6" s="1"/>
  <c r="H196" i="6" s="1"/>
  <c r="I196" i="6" s="1"/>
  <c r="J196" i="6" s="1"/>
  <c r="K196" i="6" s="1"/>
  <c r="L196" i="6" s="1"/>
  <c r="M196" i="6" s="1"/>
  <c r="N196" i="6" s="1"/>
  <c r="O196" i="6" s="1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A196" i="6" s="1"/>
  <c r="AB196" i="6" s="1"/>
  <c r="AC196" i="6" s="1"/>
  <c r="AD196" i="6" s="1"/>
  <c r="AE196" i="6" s="1"/>
  <c r="AF196" i="6" s="1"/>
  <c r="AG196" i="6" s="1"/>
  <c r="AH196" i="6" s="1"/>
  <c r="AI196" i="6" s="1"/>
  <c r="AJ196" i="6" s="1"/>
  <c r="AK196" i="6" s="1"/>
  <c r="D196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D190" i="6"/>
  <c r="E190" i="6" s="1"/>
  <c r="F190" i="6" s="1"/>
  <c r="G190" i="6" s="1"/>
  <c r="H190" i="6" s="1"/>
  <c r="I190" i="6" s="1"/>
  <c r="J190" i="6" s="1"/>
  <c r="K190" i="6" s="1"/>
  <c r="L190" i="6" s="1"/>
  <c r="M190" i="6" s="1"/>
  <c r="N190" i="6" s="1"/>
  <c r="O190" i="6" s="1"/>
  <c r="P190" i="6" s="1"/>
  <c r="Q190" i="6" s="1"/>
  <c r="R190" i="6" s="1"/>
  <c r="S190" i="6" s="1"/>
  <c r="T190" i="6" s="1"/>
  <c r="U190" i="6" s="1"/>
  <c r="V190" i="6" s="1"/>
  <c r="W190" i="6" s="1"/>
  <c r="X190" i="6" s="1"/>
  <c r="Y190" i="6" s="1"/>
  <c r="Z190" i="6" s="1"/>
  <c r="AA190" i="6" s="1"/>
  <c r="AB190" i="6" s="1"/>
  <c r="AC190" i="6" s="1"/>
  <c r="AD190" i="6" s="1"/>
  <c r="AE190" i="6" s="1"/>
  <c r="AF190" i="6" s="1"/>
  <c r="AG190" i="6" s="1"/>
  <c r="AH190" i="6" s="1"/>
  <c r="AI190" i="6" s="1"/>
  <c r="AJ190" i="6" s="1"/>
  <c r="AK190" i="6" s="1"/>
  <c r="D189" i="6"/>
  <c r="E189" i="6"/>
  <c r="F189" i="6"/>
  <c r="G189" i="6"/>
  <c r="H189" i="6"/>
  <c r="I189" i="6" s="1"/>
  <c r="J189" i="6" s="1"/>
  <c r="K189" i="6" s="1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AG189" i="6" s="1"/>
  <c r="AH189" i="6" s="1"/>
  <c r="AI189" i="6" s="1"/>
  <c r="AJ189" i="6" s="1"/>
  <c r="AK189" i="6" s="1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AJ185" i="6"/>
  <c r="AK185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AJ184" i="6"/>
  <c r="AK184" i="6"/>
  <c r="D183" i="6"/>
  <c r="E183" i="6" s="1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AG183" i="6" s="1"/>
  <c r="AH183" i="6" s="1"/>
  <c r="AI183" i="6" s="1"/>
  <c r="AJ183" i="6" s="1"/>
  <c r="AK183" i="6" s="1"/>
  <c r="D182" i="6"/>
  <c r="E182" i="6"/>
  <c r="F182" i="6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AG182" i="6" s="1"/>
  <c r="AH182" i="6" s="1"/>
  <c r="AI182" i="6" s="1"/>
  <c r="AJ182" i="6" s="1"/>
  <c r="AK182" i="6" s="1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AJ181" i="6"/>
  <c r="AK181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D176" i="6"/>
  <c r="E176" i="6"/>
  <c r="F176" i="6"/>
  <c r="G176" i="6"/>
  <c r="H176" i="6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AG176" i="6" s="1"/>
  <c r="AH176" i="6" s="1"/>
  <c r="AI176" i="6" s="1"/>
  <c r="AJ176" i="6" s="1"/>
  <c r="AK176" i="6" s="1"/>
  <c r="D175" i="6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AG175" i="6" s="1"/>
  <c r="AH175" i="6" s="1"/>
  <c r="AI175" i="6" s="1"/>
  <c r="AJ175" i="6" s="1"/>
  <c r="AK175" i="6" s="1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D168" i="6"/>
  <c r="E168" i="6"/>
  <c r="F168" i="6" s="1"/>
  <c r="G168" i="6" s="1"/>
  <c r="H168" i="6" s="1"/>
  <c r="I168" i="6" s="1"/>
  <c r="J168" i="6" s="1"/>
  <c r="K168" i="6" s="1"/>
  <c r="L168" i="6" s="1"/>
  <c r="M168" i="6" s="1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X168" i="6" s="1"/>
  <c r="Y168" i="6" s="1"/>
  <c r="Z168" i="6" s="1"/>
  <c r="AA168" i="6" s="1"/>
  <c r="AB168" i="6" s="1"/>
  <c r="AC168" i="6" s="1"/>
  <c r="AD168" i="6" s="1"/>
  <c r="AE168" i="6" s="1"/>
  <c r="AF168" i="6" s="1"/>
  <c r="AG168" i="6" s="1"/>
  <c r="AH168" i="6" s="1"/>
  <c r="AI168" i="6" s="1"/>
  <c r="AJ168" i="6" s="1"/>
  <c r="AK168" i="6" s="1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D166" i="6"/>
  <c r="E166" i="6"/>
  <c r="F166" i="6" s="1"/>
  <c r="G166" i="6" s="1"/>
  <c r="H166" i="6" s="1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AG166" i="6" s="1"/>
  <c r="AH166" i="6" s="1"/>
  <c r="AI166" i="6" s="1"/>
  <c r="AJ166" i="6" s="1"/>
  <c r="AK166" i="6" s="1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D163" i="6"/>
  <c r="E163" i="6" s="1"/>
  <c r="F163" i="6" s="1"/>
  <c r="G163" i="6" s="1"/>
  <c r="H163" i="6" s="1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AG163" i="6" s="1"/>
  <c r="AH163" i="6" s="1"/>
  <c r="AI163" i="6" s="1"/>
  <c r="AJ163" i="6" s="1"/>
  <c r="AK163" i="6" s="1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D161" i="6"/>
  <c r="E161" i="6"/>
  <c r="F161" i="6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AG161" i="6" s="1"/>
  <c r="AH161" i="6" s="1"/>
  <c r="AI161" i="6" s="1"/>
  <c r="AJ161" i="6" s="1"/>
  <c r="AK161" i="6" s="1"/>
  <c r="M160" i="6"/>
  <c r="N160" i="6"/>
  <c r="O160" i="6"/>
  <c r="P160" i="6"/>
  <c r="Q160" i="6"/>
  <c r="R160" i="6"/>
  <c r="S160" i="6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AG160" i="6" s="1"/>
  <c r="AH160" i="6" s="1"/>
  <c r="AI160" i="6" s="1"/>
  <c r="AJ160" i="6" s="1"/>
  <c r="AK160" i="6" s="1"/>
  <c r="D160" i="6"/>
  <c r="E160" i="6"/>
  <c r="F160" i="6"/>
  <c r="G160" i="6"/>
  <c r="H160" i="6"/>
  <c r="I160" i="6"/>
  <c r="J160" i="6"/>
  <c r="K160" i="6"/>
  <c r="L160" i="6"/>
  <c r="D159" i="6"/>
  <c r="E159" i="6" s="1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AG159" i="6" s="1"/>
  <c r="AH159" i="6" s="1"/>
  <c r="AI159" i="6" s="1"/>
  <c r="AJ159" i="6" s="1"/>
  <c r="AK159" i="6" s="1"/>
  <c r="D158" i="6"/>
  <c r="E158" i="6" s="1"/>
  <c r="F158" i="6" s="1"/>
  <c r="G158" i="6" s="1"/>
  <c r="H158" i="6" s="1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AG158" i="6" s="1"/>
  <c r="AH158" i="6" s="1"/>
  <c r="AI158" i="6" s="1"/>
  <c r="AJ158" i="6" s="1"/>
  <c r="AK158" i="6" s="1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D156" i="6"/>
  <c r="E156" i="6"/>
  <c r="F156" i="6"/>
  <c r="G156" i="6" s="1"/>
  <c r="H156" i="6" s="1"/>
  <c r="I156" i="6" s="1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AG156" i="6" s="1"/>
  <c r="AH156" i="6" s="1"/>
  <c r="AI156" i="6" s="1"/>
  <c r="AJ156" i="6" s="1"/>
  <c r="AK156" i="6" s="1"/>
  <c r="D155" i="6"/>
  <c r="E155" i="6" s="1"/>
  <c r="F155" i="6" s="1"/>
  <c r="G155" i="6" s="1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AG155" i="6" s="1"/>
  <c r="AH155" i="6" s="1"/>
  <c r="AI155" i="6" s="1"/>
  <c r="AJ155" i="6" s="1"/>
  <c r="AK155" i="6" s="1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 s="1"/>
  <c r="AD154" i="6" s="1"/>
  <c r="AE154" i="6" s="1"/>
  <c r="AF154" i="6" s="1"/>
  <c r="AG154" i="6" s="1"/>
  <c r="AH154" i="6" s="1"/>
  <c r="AI154" i="6" s="1"/>
  <c r="AJ154" i="6" s="1"/>
  <c r="AK154" i="6" s="1"/>
  <c r="D153" i="6"/>
  <c r="E153" i="6" s="1"/>
  <c r="F153" i="6" s="1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AG153" i="6" s="1"/>
  <c r="AH153" i="6" s="1"/>
  <c r="AI153" i="6" s="1"/>
  <c r="AJ153" i="6" s="1"/>
  <c r="AK153" i="6" s="1"/>
  <c r="D152" i="6"/>
  <c r="E152" i="6" s="1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AG152" i="6" s="1"/>
  <c r="AH152" i="6" s="1"/>
  <c r="AI152" i="6" s="1"/>
  <c r="AJ152" i="6" s="1"/>
  <c r="AK152" i="6" s="1"/>
  <c r="D151" i="6"/>
  <c r="E151" i="6" s="1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AG151" i="6" s="1"/>
  <c r="AH151" i="6" s="1"/>
  <c r="AI151" i="6" s="1"/>
  <c r="AJ151" i="6" s="1"/>
  <c r="AK151" i="6" s="1"/>
  <c r="D150" i="6"/>
  <c r="E150" i="6" s="1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AG150" i="6" s="1"/>
  <c r="AH150" i="6" s="1"/>
  <c r="AI150" i="6" s="1"/>
  <c r="AJ150" i="6" s="1"/>
  <c r="AK150" i="6" s="1"/>
  <c r="D149" i="6"/>
  <c r="E149" i="6" s="1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AG149" i="6" s="1"/>
  <c r="AH149" i="6" s="1"/>
  <c r="AI149" i="6" s="1"/>
  <c r="AJ149" i="6" s="1"/>
  <c r="AK149" i="6" s="1"/>
  <c r="D148" i="6"/>
  <c r="E148" i="6" s="1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AG148" i="6" s="1"/>
  <c r="AH148" i="6" s="1"/>
  <c r="AI148" i="6" s="1"/>
  <c r="AJ148" i="6" s="1"/>
  <c r="AK148" i="6" s="1"/>
  <c r="D147" i="6"/>
  <c r="E147" i="6" s="1"/>
  <c r="F147" i="6" s="1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AG147" i="6" s="1"/>
  <c r="AH147" i="6" s="1"/>
  <c r="AI147" i="6" s="1"/>
  <c r="AJ147" i="6" s="1"/>
  <c r="AK147" i="6" s="1"/>
  <c r="D146" i="6"/>
  <c r="E146" i="6" s="1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AG146" i="6" s="1"/>
  <c r="AH146" i="6" s="1"/>
  <c r="AI146" i="6" s="1"/>
  <c r="AJ146" i="6" s="1"/>
  <c r="AK146" i="6" s="1"/>
  <c r="D145" i="6"/>
  <c r="E145" i="6" s="1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AG145" i="6" s="1"/>
  <c r="AH145" i="6" s="1"/>
  <c r="AI145" i="6" s="1"/>
  <c r="AJ145" i="6" s="1"/>
  <c r="AK145" i="6" s="1"/>
  <c r="D144" i="6"/>
  <c r="E144" i="6" s="1"/>
  <c r="F144" i="6" s="1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AG144" i="6" s="1"/>
  <c r="AH144" i="6" s="1"/>
  <c r="AI144" i="6" s="1"/>
  <c r="AJ144" i="6" s="1"/>
  <c r="AK144" i="6" s="1"/>
  <c r="D143" i="6"/>
  <c r="E143" i="6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AG143" i="6" s="1"/>
  <c r="AH143" i="6" s="1"/>
  <c r="AI143" i="6" s="1"/>
  <c r="AJ143" i="6" s="1"/>
  <c r="AK143" i="6" s="1"/>
  <c r="D142" i="6"/>
  <c r="E142" i="6" s="1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AG142" i="6" s="1"/>
  <c r="AH142" i="6" s="1"/>
  <c r="AI142" i="6" s="1"/>
  <c r="AJ142" i="6" s="1"/>
  <c r="AK142" i="6" s="1"/>
  <c r="D141" i="6"/>
  <c r="E141" i="6" s="1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AG141" i="6" s="1"/>
  <c r="AH141" i="6" s="1"/>
  <c r="AI141" i="6" s="1"/>
  <c r="AJ141" i="6" s="1"/>
  <c r="AK141" i="6" s="1"/>
  <c r="D140" i="6"/>
  <c r="E140" i="6" s="1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AG140" i="6" s="1"/>
  <c r="AH140" i="6" s="1"/>
  <c r="AI140" i="6" s="1"/>
  <c r="AJ140" i="6" s="1"/>
  <c r="AK140" i="6" s="1"/>
  <c r="D139" i="6"/>
  <c r="E139" i="6" s="1"/>
  <c r="F139" i="6" s="1"/>
  <c r="G139" i="6" s="1"/>
  <c r="H139" i="6" s="1"/>
  <c r="I139" i="6" s="1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AG139" i="6" s="1"/>
  <c r="AH139" i="6" s="1"/>
  <c r="AI139" i="6" s="1"/>
  <c r="AJ139" i="6" s="1"/>
  <c r="AK139" i="6" s="1"/>
  <c r="D138" i="6"/>
  <c r="E138" i="6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AG138" i="6" s="1"/>
  <c r="AH138" i="6" s="1"/>
  <c r="AI138" i="6" s="1"/>
  <c r="AJ138" i="6" s="1"/>
  <c r="AK138" i="6" s="1"/>
  <c r="D137" i="6"/>
  <c r="E137" i="6" s="1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AG137" i="6" s="1"/>
  <c r="AH137" i="6" s="1"/>
  <c r="AI137" i="6" s="1"/>
  <c r="AJ137" i="6" s="1"/>
  <c r="AK137" i="6" s="1"/>
  <c r="D136" i="6"/>
  <c r="E136" i="6" s="1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AG136" i="6" s="1"/>
  <c r="AH136" i="6" s="1"/>
  <c r="AI136" i="6" s="1"/>
  <c r="AJ136" i="6" s="1"/>
  <c r="AK136" i="6" s="1"/>
  <c r="D135" i="6"/>
  <c r="E135" i="6" s="1"/>
  <c r="F135" i="6" s="1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AG135" i="6" s="1"/>
  <c r="AH135" i="6" s="1"/>
  <c r="AI135" i="6" s="1"/>
  <c r="AJ135" i="6" s="1"/>
  <c r="AK135" i="6" s="1"/>
  <c r="D134" i="6"/>
  <c r="E134" i="6" s="1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AG134" i="6" s="1"/>
  <c r="AH134" i="6" s="1"/>
  <c r="AI134" i="6" s="1"/>
  <c r="AJ134" i="6" s="1"/>
  <c r="AK134" i="6" s="1"/>
  <c r="D133" i="6"/>
  <c r="E133" i="6" s="1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AG133" i="6" s="1"/>
  <c r="AH133" i="6" s="1"/>
  <c r="AI133" i="6" s="1"/>
  <c r="AJ133" i="6" s="1"/>
  <c r="AK133" i="6" s="1"/>
  <c r="D132" i="6"/>
  <c r="E132" i="6" s="1"/>
  <c r="F132" i="6" s="1"/>
  <c r="G132" i="6" s="1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AG132" i="6" s="1"/>
  <c r="AH132" i="6" s="1"/>
  <c r="AI132" i="6" s="1"/>
  <c r="AJ132" i="6" s="1"/>
  <c r="AK132" i="6" s="1"/>
  <c r="D131" i="6"/>
  <c r="E131" i="6" s="1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AG131" i="6" s="1"/>
  <c r="AH131" i="6" s="1"/>
  <c r="AI131" i="6" s="1"/>
  <c r="AJ131" i="6" s="1"/>
  <c r="AK131" i="6" s="1"/>
  <c r="D130" i="6"/>
  <c r="E130" i="6" s="1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AG130" i="6" s="1"/>
  <c r="AH130" i="6" s="1"/>
  <c r="AI130" i="6" s="1"/>
  <c r="AJ130" i="6" s="1"/>
  <c r="AK130" i="6" s="1"/>
  <c r="D129" i="6"/>
  <c r="E129" i="6" s="1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AG129" i="6" s="1"/>
  <c r="AH129" i="6" s="1"/>
  <c r="AI129" i="6" s="1"/>
  <c r="AJ129" i="6" s="1"/>
  <c r="AK129" i="6" s="1"/>
  <c r="D128" i="6"/>
  <c r="E128" i="6" s="1"/>
  <c r="F128" i="6" s="1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AG128" i="6" s="1"/>
  <c r="AH128" i="6" s="1"/>
  <c r="AI128" i="6" s="1"/>
  <c r="AJ128" i="6" s="1"/>
  <c r="AK128" i="6" s="1"/>
  <c r="D127" i="6"/>
  <c r="E127" i="6" s="1"/>
  <c r="F127" i="6" s="1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AG127" i="6" s="1"/>
  <c r="AH127" i="6" s="1"/>
  <c r="AI127" i="6" s="1"/>
  <c r="AJ127" i="6" s="1"/>
  <c r="AK127" i="6" s="1"/>
  <c r="D126" i="6"/>
  <c r="E126" i="6" s="1"/>
  <c r="F126" i="6" s="1"/>
  <c r="G126" i="6" s="1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AG126" i="6" s="1"/>
  <c r="AH126" i="6" s="1"/>
  <c r="AI126" i="6" s="1"/>
  <c r="AJ126" i="6" s="1"/>
  <c r="AK126" i="6" s="1"/>
  <c r="D125" i="6"/>
  <c r="E125" i="6" s="1"/>
  <c r="F125" i="6" s="1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AG125" i="6" s="1"/>
  <c r="AH125" i="6" s="1"/>
  <c r="AI125" i="6" s="1"/>
  <c r="AJ125" i="6" s="1"/>
  <c r="AK125" i="6" s="1"/>
  <c r="D124" i="6"/>
  <c r="E124" i="6" s="1"/>
  <c r="F124" i="6" s="1"/>
  <c r="G124" i="6" s="1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AG124" i="6" s="1"/>
  <c r="AH124" i="6" s="1"/>
  <c r="AI124" i="6" s="1"/>
  <c r="AJ124" i="6" s="1"/>
  <c r="AK124" i="6" s="1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D117" i="6"/>
  <c r="E117" i="6"/>
  <c r="F117" i="6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AG117" i="6" s="1"/>
  <c r="AH117" i="6" s="1"/>
  <c r="AI117" i="6" s="1"/>
  <c r="AJ117" i="6" s="1"/>
  <c r="AK117" i="6" s="1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D114" i="6"/>
  <c r="E114" i="6" s="1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AG114" i="6" s="1"/>
  <c r="AH114" i="6" s="1"/>
  <c r="AI114" i="6" s="1"/>
  <c r="AJ114" i="6" s="1"/>
  <c r="AK114" i="6" s="1"/>
  <c r="D113" i="6"/>
  <c r="E113" i="6"/>
  <c r="F113" i="6"/>
  <c r="G113" i="6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AG113" i="6" s="1"/>
  <c r="AH113" i="6" s="1"/>
  <c r="AI113" i="6" s="1"/>
  <c r="AJ113" i="6" s="1"/>
  <c r="AK113" i="6" s="1"/>
  <c r="D112" i="6"/>
  <c r="E112" i="6"/>
  <c r="F112" i="6"/>
  <c r="G112" i="6"/>
  <c r="H112" i="6"/>
  <c r="I112" i="6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AG112" i="6" s="1"/>
  <c r="AH112" i="6" s="1"/>
  <c r="AI112" i="6" s="1"/>
  <c r="AJ112" i="6" s="1"/>
  <c r="AK112" i="6" s="1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D105" i="6"/>
  <c r="E105" i="6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AG105" i="6" s="1"/>
  <c r="AH105" i="6" s="1"/>
  <c r="AI105" i="6" s="1"/>
  <c r="AJ105" i="6" s="1"/>
  <c r="AK105" i="6" s="1"/>
  <c r="D104" i="6"/>
  <c r="E104" i="6" s="1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AG104" i="6" s="1"/>
  <c r="AH104" i="6" s="1"/>
  <c r="AI104" i="6" s="1"/>
  <c r="AJ104" i="6" s="1"/>
  <c r="AK104" i="6" s="1"/>
  <c r="D103" i="6"/>
  <c r="E103" i="6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AG103" i="6" s="1"/>
  <c r="AH103" i="6" s="1"/>
  <c r="AI103" i="6" s="1"/>
  <c r="AJ103" i="6" s="1"/>
  <c r="AK103" i="6" s="1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D98" i="6"/>
  <c r="E98" i="6" s="1"/>
  <c r="F98" i="6" s="1"/>
  <c r="G98" i="6" s="1"/>
  <c r="H98" i="6" s="1"/>
  <c r="I98" i="6" s="1"/>
  <c r="J98" i="6" s="1"/>
  <c r="K98" i="6" s="1"/>
  <c r="L98" i="6" s="1"/>
  <c r="M98" i="6" s="1"/>
  <c r="N98" i="6" s="1"/>
  <c r="O98" i="6" s="1"/>
  <c r="P98" i="6" s="1"/>
  <c r="Q98" i="6" s="1"/>
  <c r="R98" i="6" s="1"/>
  <c r="S98" i="6" s="1"/>
  <c r="T98" i="6" s="1"/>
  <c r="U98" i="6" s="1"/>
  <c r="V98" i="6" s="1"/>
  <c r="W98" i="6" s="1"/>
  <c r="X98" i="6" s="1"/>
  <c r="Y98" i="6" s="1"/>
  <c r="Z98" i="6" s="1"/>
  <c r="AA98" i="6" s="1"/>
  <c r="AB98" i="6" s="1"/>
  <c r="AC98" i="6" s="1"/>
  <c r="AD98" i="6" s="1"/>
  <c r="AE98" i="6" s="1"/>
  <c r="AF98" i="6" s="1"/>
  <c r="AG98" i="6" s="1"/>
  <c r="AH98" i="6" s="1"/>
  <c r="AI98" i="6" s="1"/>
  <c r="AJ98" i="6" s="1"/>
  <c r="AK98" i="6" s="1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D93" i="6"/>
  <c r="E93" i="6"/>
  <c r="F93" i="6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Q93" i="6" s="1"/>
  <c r="R93" i="6" s="1"/>
  <c r="S93" i="6" s="1"/>
  <c r="T93" i="6" s="1"/>
  <c r="U93" i="6" s="1"/>
  <c r="V93" i="6" s="1"/>
  <c r="W93" i="6" s="1"/>
  <c r="X93" i="6" s="1"/>
  <c r="Y93" i="6" s="1"/>
  <c r="Z93" i="6" s="1"/>
  <c r="AA93" i="6" s="1"/>
  <c r="AB93" i="6" s="1"/>
  <c r="AC93" i="6" s="1"/>
  <c r="AD93" i="6" s="1"/>
  <c r="AE93" i="6" s="1"/>
  <c r="AF93" i="6" s="1"/>
  <c r="AG93" i="6" s="1"/>
  <c r="AH93" i="6" s="1"/>
  <c r="AI93" i="6" s="1"/>
  <c r="AJ93" i="6" s="1"/>
  <c r="AK93" i="6" s="1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 s="1"/>
  <c r="X88" i="6" s="1"/>
  <c r="Y88" i="6" s="1"/>
  <c r="Z88" i="6" s="1"/>
  <c r="AA88" i="6" s="1"/>
  <c r="AB88" i="6" s="1"/>
  <c r="AC88" i="6" s="1"/>
  <c r="AD88" i="6" s="1"/>
  <c r="AE88" i="6" s="1"/>
  <c r="AF88" i="6" s="1"/>
  <c r="AG88" i="6" s="1"/>
  <c r="AH88" i="6" s="1"/>
  <c r="AI88" i="6" s="1"/>
  <c r="AJ88" i="6" s="1"/>
  <c r="AK88" i="6" s="1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D86" i="6"/>
  <c r="E86" i="6" s="1"/>
  <c r="F86" i="6" s="1"/>
  <c r="G86" i="6" s="1"/>
  <c r="H86" i="6" s="1"/>
  <c r="I86" i="6" s="1"/>
  <c r="J86" i="6" s="1"/>
  <c r="K86" i="6" s="1"/>
  <c r="L86" i="6" s="1"/>
  <c r="M86" i="6" s="1"/>
  <c r="N86" i="6" s="1"/>
  <c r="O86" i="6" s="1"/>
  <c r="P86" i="6" s="1"/>
  <c r="Q86" i="6" s="1"/>
  <c r="R86" i="6" s="1"/>
  <c r="S86" i="6" s="1"/>
  <c r="T86" i="6" s="1"/>
  <c r="U86" i="6" s="1"/>
  <c r="V86" i="6" s="1"/>
  <c r="W86" i="6" s="1"/>
  <c r="X86" i="6" s="1"/>
  <c r="Y86" i="6" s="1"/>
  <c r="Z86" i="6" s="1"/>
  <c r="AA86" i="6" s="1"/>
  <c r="AB86" i="6" s="1"/>
  <c r="AC86" i="6" s="1"/>
  <c r="AD86" i="6" s="1"/>
  <c r="AE86" i="6" s="1"/>
  <c r="AF86" i="6" s="1"/>
  <c r="AG86" i="6" s="1"/>
  <c r="AH86" i="6" s="1"/>
  <c r="AI86" i="6" s="1"/>
  <c r="AJ86" i="6" s="1"/>
  <c r="AK86" i="6" s="1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D80" i="6"/>
  <c r="E80" i="6"/>
  <c r="F80" i="6" s="1"/>
  <c r="G80" i="6" s="1"/>
  <c r="H80" i="6" s="1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C80" i="6" s="1"/>
  <c r="AD80" i="6" s="1"/>
  <c r="AE80" i="6" s="1"/>
  <c r="AF80" i="6" s="1"/>
  <c r="AG80" i="6" s="1"/>
  <c r="AH80" i="6" s="1"/>
  <c r="AI80" i="6" s="1"/>
  <c r="AJ80" i="6" s="1"/>
  <c r="AK80" i="6" s="1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D64" i="6"/>
  <c r="E64" i="6" s="1"/>
  <c r="F64" i="6" s="1"/>
  <c r="G64" i="6" s="1"/>
  <c r="H64" i="6" s="1"/>
  <c r="I64" i="6" s="1"/>
  <c r="J64" i="6" s="1"/>
  <c r="K64" i="6" s="1"/>
  <c r="L64" i="6" s="1"/>
  <c r="M64" i="6" s="1"/>
  <c r="N64" i="6" s="1"/>
  <c r="O64" i="6" s="1"/>
  <c r="P64" i="6" s="1"/>
  <c r="Q64" i="6" s="1"/>
  <c r="R64" i="6" s="1"/>
  <c r="S64" i="6" s="1"/>
  <c r="T64" i="6" s="1"/>
  <c r="U64" i="6" s="1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4" i="6" s="1"/>
  <c r="AK64" i="6" s="1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D59" i="6"/>
  <c r="E59" i="6"/>
  <c r="F59" i="6"/>
  <c r="G59" i="6" s="1"/>
  <c r="H59" i="6" s="1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 s="1"/>
  <c r="AK59" i="6" s="1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D52" i="6"/>
  <c r="E52" i="6" s="1"/>
  <c r="F52" i="6" s="1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AK52" i="6" s="1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D50" i="6"/>
  <c r="E50" i="6" s="1"/>
  <c r="F50" i="6" s="1"/>
  <c r="G50" i="6" s="1"/>
  <c r="H50" i="6" s="1"/>
  <c r="I50" i="6" s="1"/>
  <c r="J50" i="6" s="1"/>
  <c r="K50" i="6" s="1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AJ50" i="6" s="1"/>
  <c r="AK50" i="6" s="1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D48" i="6"/>
  <c r="E48" i="6" s="1"/>
  <c r="F48" i="6" s="1"/>
  <c r="G48" i="6" s="1"/>
  <c r="H48" i="6" s="1"/>
  <c r="I48" i="6" s="1"/>
  <c r="J48" i="6" s="1"/>
  <c r="K48" i="6" s="1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AG48" i="6" s="1"/>
  <c r="AH48" i="6" s="1"/>
  <c r="AI48" i="6" s="1"/>
  <c r="AJ48" i="6" s="1"/>
  <c r="AK48" i="6" s="1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D46" i="6"/>
  <c r="E46" i="6" s="1"/>
  <c r="F46" i="6" s="1"/>
  <c r="G46" i="6" s="1"/>
  <c r="H46" i="6" s="1"/>
  <c r="I46" i="6" s="1"/>
  <c r="J46" i="6" s="1"/>
  <c r="K46" i="6" s="1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AG46" i="6" s="1"/>
  <c r="AH46" i="6" s="1"/>
  <c r="AI46" i="6" s="1"/>
  <c r="AJ46" i="6" s="1"/>
  <c r="AK46" i="6" s="1"/>
  <c r="D45" i="6"/>
  <c r="E45" i="6"/>
  <c r="F45" i="6"/>
  <c r="G45" i="6" s="1"/>
  <c r="H45" i="6" s="1"/>
  <c r="I45" i="6" s="1"/>
  <c r="J45" i="6" s="1"/>
  <c r="K45" i="6" s="1"/>
  <c r="L45" i="6" s="1"/>
  <c r="M45" i="6" s="1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AG45" i="6" s="1"/>
  <c r="AH45" i="6" s="1"/>
  <c r="AI45" i="6" s="1"/>
  <c r="AJ45" i="6" s="1"/>
  <c r="AK45" i="6" s="1"/>
  <c r="D44" i="6"/>
  <c r="E44" i="6"/>
  <c r="F44" i="6" s="1"/>
  <c r="G44" i="6" s="1"/>
  <c r="H44" i="6" s="1"/>
  <c r="I44" i="6" s="1"/>
  <c r="J44" i="6" s="1"/>
  <c r="K44" i="6" s="1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AG44" i="6" s="1"/>
  <c r="AH44" i="6" s="1"/>
  <c r="AI44" i="6" s="1"/>
  <c r="AJ44" i="6" s="1"/>
  <c r="AK44" i="6" s="1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D40" i="6"/>
  <c r="E40" i="6" s="1"/>
  <c r="F40" i="6" s="1"/>
  <c r="G40" i="6" s="1"/>
  <c r="H40" i="6" s="1"/>
  <c r="I40" i="6" s="1"/>
  <c r="J40" i="6" s="1"/>
  <c r="K40" i="6" s="1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X40" i="6" s="1"/>
  <c r="Y40" i="6" s="1"/>
  <c r="Z40" i="6" s="1"/>
  <c r="AA40" i="6" s="1"/>
  <c r="AB40" i="6" s="1"/>
  <c r="AC40" i="6" s="1"/>
  <c r="AD40" i="6" s="1"/>
  <c r="AE40" i="6" s="1"/>
  <c r="AF40" i="6" s="1"/>
  <c r="AG40" i="6" s="1"/>
  <c r="AH40" i="6" s="1"/>
  <c r="AI40" i="6" s="1"/>
  <c r="AJ40" i="6" s="1"/>
  <c r="AK40" i="6" s="1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D38" i="6"/>
  <c r="E38" i="6"/>
  <c r="F38" i="6"/>
  <c r="G38" i="6"/>
  <c r="H38" i="6"/>
  <c r="I38" i="6"/>
  <c r="J38" i="6" s="1"/>
  <c r="K38" i="6" s="1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D38" i="6" s="1"/>
  <c r="AE38" i="6" s="1"/>
  <c r="AF38" i="6" s="1"/>
  <c r="AG38" i="6" s="1"/>
  <c r="AH38" i="6" s="1"/>
  <c r="AI38" i="6" s="1"/>
  <c r="AJ38" i="6" s="1"/>
  <c r="AK38" i="6" s="1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D31" i="6"/>
  <c r="E31" i="6" s="1"/>
  <c r="F31" i="6" s="1"/>
  <c r="G31" i="6" s="1"/>
  <c r="H31" i="6" s="1"/>
  <c r="I31" i="6" s="1"/>
  <c r="J31" i="6" s="1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AG31" i="6" s="1"/>
  <c r="AH31" i="6" s="1"/>
  <c r="AI31" i="6" s="1"/>
  <c r="AJ31" i="6" s="1"/>
  <c r="AK31" i="6" s="1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C17" i="6"/>
  <c r="C18" i="6"/>
  <c r="Y130" i="4"/>
  <c r="P130" i="4"/>
  <c r="G130" i="4"/>
  <c r="Y129" i="4"/>
  <c r="P129" i="4"/>
  <c r="G129" i="4"/>
  <c r="Y128" i="4"/>
  <c r="P128" i="4"/>
  <c r="G128" i="4"/>
  <c r="AP126" i="4"/>
  <c r="AO126" i="4"/>
  <c r="AN126" i="4"/>
  <c r="AM126" i="4"/>
  <c r="AK126" i="4"/>
  <c r="AJ126" i="4"/>
  <c r="AI126" i="4"/>
  <c r="AH126" i="4"/>
  <c r="AF126" i="4"/>
  <c r="AE126" i="4"/>
  <c r="AD126" i="4"/>
  <c r="AC126" i="4"/>
  <c r="V126" i="4"/>
  <c r="Z126" i="4"/>
  <c r="U126" i="4"/>
  <c r="M126" i="4"/>
  <c r="L126" i="4"/>
  <c r="H126" i="4"/>
  <c r="I126" i="4"/>
  <c r="AP125" i="4"/>
  <c r="AO125" i="4"/>
  <c r="AN125" i="4"/>
  <c r="AM125" i="4"/>
  <c r="AK125" i="4"/>
  <c r="AJ125" i="4"/>
  <c r="AI125" i="4"/>
  <c r="AH125" i="4"/>
  <c r="AF125" i="4"/>
  <c r="AE125" i="4"/>
  <c r="AD125" i="4"/>
  <c r="AC125" i="4"/>
  <c r="V125" i="4"/>
  <c r="Z125" i="4"/>
  <c r="U125" i="4"/>
  <c r="M125" i="4"/>
  <c r="Q125" i="4"/>
  <c r="L125" i="4"/>
  <c r="H125" i="4"/>
  <c r="I125" i="4"/>
  <c r="AP124" i="4"/>
  <c r="AO124" i="4"/>
  <c r="AN124" i="4"/>
  <c r="AM124" i="4"/>
  <c r="AK124" i="4"/>
  <c r="AJ124" i="4"/>
  <c r="AI124" i="4"/>
  <c r="AH124" i="4"/>
  <c r="AF124" i="4"/>
  <c r="AE124" i="4"/>
  <c r="AD124" i="4"/>
  <c r="AC124" i="4"/>
  <c r="V124" i="4"/>
  <c r="Z124" i="4"/>
  <c r="U124" i="4"/>
  <c r="M124" i="4"/>
  <c r="Q124" i="4"/>
  <c r="L124" i="4"/>
  <c r="H124" i="4"/>
  <c r="I124" i="4"/>
  <c r="AP123" i="4"/>
  <c r="AO123" i="4"/>
  <c r="AN123" i="4"/>
  <c r="AM123" i="4"/>
  <c r="AK123" i="4"/>
  <c r="AJ123" i="4"/>
  <c r="AI123" i="4"/>
  <c r="AH123" i="4"/>
  <c r="AF123" i="4"/>
  <c r="AE123" i="4"/>
  <c r="AD123" i="4"/>
  <c r="AC123" i="4"/>
  <c r="Z123" i="4"/>
  <c r="V123" i="4"/>
  <c r="U123" i="4"/>
  <c r="R123" i="4"/>
  <c r="M123" i="4"/>
  <c r="Q123" i="4"/>
  <c r="L123" i="4"/>
  <c r="H123" i="4"/>
  <c r="I123" i="4"/>
  <c r="AP122" i="4"/>
  <c r="AO122" i="4"/>
  <c r="AN122" i="4"/>
  <c r="AM122" i="4"/>
  <c r="AK122" i="4"/>
  <c r="AJ122" i="4"/>
  <c r="AI122" i="4"/>
  <c r="AH122" i="4"/>
  <c r="AF122" i="4"/>
  <c r="AE122" i="4"/>
  <c r="AD122" i="4"/>
  <c r="AC122" i="4"/>
  <c r="Z122" i="4"/>
  <c r="V122" i="4"/>
  <c r="U122" i="4"/>
  <c r="AA122" i="4"/>
  <c r="M122" i="4"/>
  <c r="L122" i="4"/>
  <c r="H122" i="4"/>
  <c r="I122" i="4"/>
  <c r="AP121" i="4"/>
  <c r="AO121" i="4"/>
  <c r="AN121" i="4"/>
  <c r="AM121" i="4"/>
  <c r="AK121" i="4"/>
  <c r="AJ121" i="4"/>
  <c r="AI121" i="4"/>
  <c r="AH121" i="4"/>
  <c r="AF121" i="4"/>
  <c r="AE121" i="4"/>
  <c r="AD121" i="4"/>
  <c r="AC121" i="4"/>
  <c r="V121" i="4"/>
  <c r="Z121" i="4"/>
  <c r="U121" i="4"/>
  <c r="M121" i="4"/>
  <c r="Q121" i="4"/>
  <c r="L121" i="4"/>
  <c r="H121" i="4"/>
  <c r="I121" i="4"/>
  <c r="AP120" i="4"/>
  <c r="AO120" i="4"/>
  <c r="AN120" i="4"/>
  <c r="AM120" i="4"/>
  <c r="AK120" i="4"/>
  <c r="AJ120" i="4"/>
  <c r="AI120" i="4"/>
  <c r="AH120" i="4"/>
  <c r="AF120" i="4"/>
  <c r="AE120" i="4"/>
  <c r="AD120" i="4"/>
  <c r="AC120" i="4"/>
  <c r="AA120" i="4"/>
  <c r="V120" i="4"/>
  <c r="Z120" i="4"/>
  <c r="U120" i="4"/>
  <c r="Q120" i="4"/>
  <c r="R120" i="4"/>
  <c r="M120" i="4"/>
  <c r="L120" i="4"/>
  <c r="H120" i="4"/>
  <c r="I120" i="4"/>
  <c r="AP119" i="4"/>
  <c r="AO119" i="4"/>
  <c r="AN119" i="4"/>
  <c r="AM119" i="4"/>
  <c r="AK119" i="4"/>
  <c r="AJ119" i="4"/>
  <c r="AI119" i="4"/>
  <c r="AH119" i="4"/>
  <c r="AF119" i="4"/>
  <c r="AE119" i="4"/>
  <c r="AD119" i="4"/>
  <c r="AC119" i="4"/>
  <c r="V119" i="4"/>
  <c r="Z119" i="4"/>
  <c r="U119" i="4"/>
  <c r="M119" i="4"/>
  <c r="Q119" i="4"/>
  <c r="L119" i="4"/>
  <c r="H119" i="4"/>
  <c r="I119" i="4"/>
  <c r="AP118" i="4"/>
  <c r="AO118" i="4"/>
  <c r="AN118" i="4"/>
  <c r="AM118" i="4"/>
  <c r="AK118" i="4"/>
  <c r="AJ118" i="4"/>
  <c r="AI118" i="4"/>
  <c r="AH118" i="4"/>
  <c r="AF118" i="4"/>
  <c r="AE118" i="4"/>
  <c r="AD118" i="4"/>
  <c r="AC118" i="4"/>
  <c r="Z118" i="4"/>
  <c r="V118" i="4"/>
  <c r="U118" i="4"/>
  <c r="M118" i="4"/>
  <c r="L118" i="4"/>
  <c r="H118" i="4"/>
  <c r="I118" i="4"/>
  <c r="AP117" i="4"/>
  <c r="AO117" i="4"/>
  <c r="AN117" i="4"/>
  <c r="AM117" i="4"/>
  <c r="AK117" i="4"/>
  <c r="AJ117" i="4"/>
  <c r="AI117" i="4"/>
  <c r="AH117" i="4"/>
  <c r="AF117" i="4"/>
  <c r="AE117" i="4"/>
  <c r="AD117" i="4"/>
  <c r="AC117" i="4"/>
  <c r="V117" i="4"/>
  <c r="Z117" i="4"/>
  <c r="U117" i="4"/>
  <c r="M117" i="4"/>
  <c r="Q117" i="4"/>
  <c r="L117" i="4"/>
  <c r="H117" i="4"/>
  <c r="I117" i="4"/>
  <c r="AP116" i="4"/>
  <c r="AO116" i="4"/>
  <c r="AN116" i="4"/>
  <c r="AM116" i="4"/>
  <c r="AK116" i="4"/>
  <c r="AJ116" i="4"/>
  <c r="AI116" i="4"/>
  <c r="AH116" i="4"/>
  <c r="AF116" i="4"/>
  <c r="AE116" i="4"/>
  <c r="AD116" i="4"/>
  <c r="AC116" i="4"/>
  <c r="V116" i="4"/>
  <c r="Z116" i="4"/>
  <c r="U116" i="4"/>
  <c r="M116" i="4"/>
  <c r="Q116" i="4"/>
  <c r="L116" i="4"/>
  <c r="H116" i="4"/>
  <c r="I116" i="4"/>
  <c r="AP115" i="4"/>
  <c r="AO115" i="4"/>
  <c r="AN115" i="4"/>
  <c r="AM115" i="4"/>
  <c r="AK115" i="4"/>
  <c r="AJ115" i="4"/>
  <c r="AI115" i="4"/>
  <c r="AH115" i="4"/>
  <c r="AF115" i="4"/>
  <c r="AE115" i="4"/>
  <c r="AD115" i="4"/>
  <c r="AC115" i="4"/>
  <c r="Z115" i="4"/>
  <c r="AA115" i="4"/>
  <c r="V115" i="4"/>
  <c r="U115" i="4"/>
  <c r="Q115" i="4"/>
  <c r="R115" i="4"/>
  <c r="M115" i="4"/>
  <c r="L115" i="4"/>
  <c r="H115" i="4"/>
  <c r="I115" i="4"/>
  <c r="AP114" i="4"/>
  <c r="AO114" i="4"/>
  <c r="AN114" i="4"/>
  <c r="AM114" i="4"/>
  <c r="AK114" i="4"/>
  <c r="AJ114" i="4"/>
  <c r="AI114" i="4"/>
  <c r="AH114" i="4"/>
  <c r="AF114" i="4"/>
  <c r="AE114" i="4"/>
  <c r="AD114" i="4"/>
  <c r="AC114" i="4"/>
  <c r="V114" i="4"/>
  <c r="Z114" i="4"/>
  <c r="U114" i="4"/>
  <c r="M114" i="4"/>
  <c r="L114" i="4"/>
  <c r="H114" i="4"/>
  <c r="I114" i="4"/>
  <c r="AP113" i="4"/>
  <c r="AO113" i="4"/>
  <c r="AN113" i="4"/>
  <c r="AM113" i="4"/>
  <c r="AK113" i="4"/>
  <c r="AJ113" i="4"/>
  <c r="AI113" i="4"/>
  <c r="AH113" i="4"/>
  <c r="AF113" i="4"/>
  <c r="AE113" i="4"/>
  <c r="AD113" i="4"/>
  <c r="AC113" i="4"/>
  <c r="V113" i="4"/>
  <c r="Z113" i="4"/>
  <c r="U113" i="4"/>
  <c r="M113" i="4"/>
  <c r="Q113" i="4"/>
  <c r="L113" i="4"/>
  <c r="H113" i="4"/>
  <c r="I113" i="4"/>
  <c r="AP112" i="4"/>
  <c r="AO112" i="4"/>
  <c r="AN112" i="4"/>
  <c r="AM112" i="4"/>
  <c r="AK112" i="4"/>
  <c r="AJ112" i="4"/>
  <c r="AI112" i="4"/>
  <c r="AH112" i="4"/>
  <c r="AF112" i="4"/>
  <c r="AE112" i="4"/>
  <c r="AD112" i="4"/>
  <c r="AC112" i="4"/>
  <c r="V112" i="4"/>
  <c r="Z112" i="4"/>
  <c r="U112" i="4"/>
  <c r="AA112" i="4"/>
  <c r="M112" i="4"/>
  <c r="Q112" i="4"/>
  <c r="L112" i="4"/>
  <c r="H112" i="4"/>
  <c r="I112" i="4"/>
  <c r="AP111" i="4"/>
  <c r="AO111" i="4"/>
  <c r="AN111" i="4"/>
  <c r="AM111" i="4"/>
  <c r="AK111" i="4"/>
  <c r="AJ111" i="4"/>
  <c r="AI111" i="4"/>
  <c r="AH111" i="4"/>
  <c r="AF111" i="4"/>
  <c r="AE111" i="4"/>
  <c r="AD111" i="4"/>
  <c r="AC111" i="4"/>
  <c r="V111" i="4"/>
  <c r="Z111" i="4"/>
  <c r="U111" i="4"/>
  <c r="AA111" i="4"/>
  <c r="M111" i="4"/>
  <c r="Q111" i="4"/>
  <c r="L111" i="4"/>
  <c r="H111" i="4"/>
  <c r="I111" i="4"/>
  <c r="AP110" i="4"/>
  <c r="AO110" i="4"/>
  <c r="AN110" i="4"/>
  <c r="AM110" i="4"/>
  <c r="AK110" i="4"/>
  <c r="AJ110" i="4"/>
  <c r="AI110" i="4"/>
  <c r="AH110" i="4"/>
  <c r="AF110" i="4"/>
  <c r="AE110" i="4"/>
  <c r="AD110" i="4"/>
  <c r="AC110" i="4"/>
  <c r="V110" i="4"/>
  <c r="Z110" i="4"/>
  <c r="U110" i="4"/>
  <c r="Q110" i="4"/>
  <c r="M110" i="4"/>
  <c r="L110" i="4"/>
  <c r="H110" i="4"/>
  <c r="I110" i="4"/>
  <c r="AP109" i="4"/>
  <c r="AO109" i="4"/>
  <c r="AN109" i="4"/>
  <c r="AM109" i="4"/>
  <c r="AK109" i="4"/>
  <c r="AJ109" i="4"/>
  <c r="AI109" i="4"/>
  <c r="AH109" i="4"/>
  <c r="AF109" i="4"/>
  <c r="AE109" i="4"/>
  <c r="AD109" i="4"/>
  <c r="AC109" i="4"/>
  <c r="V109" i="4"/>
  <c r="Z109" i="4"/>
  <c r="U109" i="4"/>
  <c r="M109" i="4"/>
  <c r="Q109" i="4"/>
  <c r="L109" i="4"/>
  <c r="H109" i="4"/>
  <c r="I109" i="4"/>
  <c r="AM101" i="4"/>
  <c r="AH101" i="4"/>
  <c r="AC101" i="4"/>
  <c r="Y97" i="4"/>
  <c r="P97" i="4"/>
  <c r="G97" i="4"/>
  <c r="Y96" i="4"/>
  <c r="P96" i="4"/>
  <c r="AP93" i="4"/>
  <c r="AO93" i="4"/>
  <c r="AN93" i="4"/>
  <c r="AM93" i="4"/>
  <c r="AK93" i="4"/>
  <c r="AJ93" i="4"/>
  <c r="AI93" i="4"/>
  <c r="AH93" i="4"/>
  <c r="AF93" i="4"/>
  <c r="AE93" i="4"/>
  <c r="AD93" i="4"/>
  <c r="AC93" i="4"/>
  <c r="V93" i="4"/>
  <c r="Z93" i="4"/>
  <c r="U93" i="4"/>
  <c r="X93" i="4"/>
  <c r="M93" i="4"/>
  <c r="Q93" i="4"/>
  <c r="L93" i="4"/>
  <c r="H93" i="4"/>
  <c r="I93" i="4"/>
  <c r="AP92" i="4"/>
  <c r="AO92" i="4"/>
  <c r="AN92" i="4"/>
  <c r="AM92" i="4"/>
  <c r="AK92" i="4"/>
  <c r="AJ92" i="4"/>
  <c r="AI92" i="4"/>
  <c r="AH92" i="4"/>
  <c r="AF92" i="4"/>
  <c r="AE92" i="4"/>
  <c r="AD92" i="4"/>
  <c r="AC92" i="4"/>
  <c r="V92" i="4"/>
  <c r="Z92" i="4"/>
  <c r="U92" i="4"/>
  <c r="X92" i="4"/>
  <c r="M92" i="4"/>
  <c r="Q92" i="4"/>
  <c r="L92" i="4"/>
  <c r="H92" i="4"/>
  <c r="I92" i="4"/>
  <c r="AP91" i="4"/>
  <c r="AO91" i="4"/>
  <c r="AN91" i="4"/>
  <c r="AM91" i="4"/>
  <c r="AK91" i="4"/>
  <c r="AJ91" i="4"/>
  <c r="AI91" i="4"/>
  <c r="AH91" i="4"/>
  <c r="AF91" i="4"/>
  <c r="AE91" i="4"/>
  <c r="AD91" i="4"/>
  <c r="AC91" i="4"/>
  <c r="V91" i="4"/>
  <c r="Z91" i="4"/>
  <c r="U91" i="4"/>
  <c r="M91" i="4"/>
  <c r="Q91" i="4"/>
  <c r="L91" i="4"/>
  <c r="H91" i="4"/>
  <c r="I91" i="4"/>
  <c r="AP90" i="4"/>
  <c r="AO90" i="4"/>
  <c r="AN90" i="4"/>
  <c r="AM90" i="4"/>
  <c r="AK90" i="4"/>
  <c r="AJ90" i="4"/>
  <c r="AI90" i="4"/>
  <c r="AH90" i="4"/>
  <c r="AF90" i="4"/>
  <c r="AE90" i="4"/>
  <c r="AD90" i="4"/>
  <c r="AC90" i="4"/>
  <c r="V90" i="4"/>
  <c r="Z90" i="4"/>
  <c r="U90" i="4"/>
  <c r="X90" i="4"/>
  <c r="Q90" i="4"/>
  <c r="R90" i="4"/>
  <c r="M90" i="4"/>
  <c r="L90" i="4"/>
  <c r="H90" i="4"/>
  <c r="I90" i="4"/>
  <c r="AP89" i="4"/>
  <c r="AO89" i="4"/>
  <c r="AN89" i="4"/>
  <c r="AM89" i="4"/>
  <c r="AK89" i="4"/>
  <c r="AJ89" i="4"/>
  <c r="AI89" i="4"/>
  <c r="AH89" i="4"/>
  <c r="AF89" i="4"/>
  <c r="AE89" i="4"/>
  <c r="AD89" i="4"/>
  <c r="AC89" i="4"/>
  <c r="V89" i="4"/>
  <c r="Z89" i="4"/>
  <c r="U89" i="4"/>
  <c r="X89" i="4"/>
  <c r="M89" i="4"/>
  <c r="Q89" i="4"/>
  <c r="R89" i="4"/>
  <c r="L89" i="4"/>
  <c r="H89" i="4"/>
  <c r="I89" i="4"/>
  <c r="AP88" i="4"/>
  <c r="AO88" i="4"/>
  <c r="AN88" i="4"/>
  <c r="AM88" i="4"/>
  <c r="AK88" i="4"/>
  <c r="AJ88" i="4"/>
  <c r="AI88" i="4"/>
  <c r="AH88" i="4"/>
  <c r="AF88" i="4"/>
  <c r="AE88" i="4"/>
  <c r="AD88" i="4"/>
  <c r="AC88" i="4"/>
  <c r="V88" i="4"/>
  <c r="Z88" i="4"/>
  <c r="U88" i="4"/>
  <c r="X88" i="4"/>
  <c r="M88" i="4"/>
  <c r="Q88" i="4"/>
  <c r="L88" i="4"/>
  <c r="H88" i="4"/>
  <c r="I88" i="4"/>
  <c r="AP87" i="4"/>
  <c r="AO87" i="4"/>
  <c r="AN87" i="4"/>
  <c r="AM87" i="4"/>
  <c r="AK87" i="4"/>
  <c r="AJ87" i="4"/>
  <c r="AI87" i="4"/>
  <c r="AH87" i="4"/>
  <c r="AF87" i="4"/>
  <c r="AE87" i="4"/>
  <c r="AD87" i="4"/>
  <c r="AC87" i="4"/>
  <c r="V87" i="4"/>
  <c r="Z87" i="4"/>
  <c r="U87" i="4"/>
  <c r="X87" i="4"/>
  <c r="M87" i="4"/>
  <c r="Q87" i="4"/>
  <c r="L87" i="4"/>
  <c r="H87" i="4"/>
  <c r="I87" i="4"/>
  <c r="AP86" i="4"/>
  <c r="AO86" i="4"/>
  <c r="AN86" i="4"/>
  <c r="AM86" i="4"/>
  <c r="AK86" i="4"/>
  <c r="AJ86" i="4"/>
  <c r="AI86" i="4"/>
  <c r="AH86" i="4"/>
  <c r="AF86" i="4"/>
  <c r="AE86" i="4"/>
  <c r="AD86" i="4"/>
  <c r="AC86" i="4"/>
  <c r="V86" i="4"/>
  <c r="Z86" i="4"/>
  <c r="U86" i="4"/>
  <c r="X86" i="4"/>
  <c r="M86" i="4"/>
  <c r="Q86" i="4"/>
  <c r="L86" i="4"/>
  <c r="H86" i="4"/>
  <c r="I86" i="4"/>
  <c r="AP85" i="4"/>
  <c r="AO85" i="4"/>
  <c r="AN85" i="4"/>
  <c r="AM85" i="4"/>
  <c r="AK85" i="4"/>
  <c r="AJ85" i="4"/>
  <c r="AI85" i="4"/>
  <c r="AH85" i="4"/>
  <c r="AF85" i="4"/>
  <c r="AE85" i="4"/>
  <c r="AD85" i="4"/>
  <c r="AC85" i="4"/>
  <c r="V85" i="4"/>
  <c r="Z85" i="4"/>
  <c r="U85" i="4"/>
  <c r="X85" i="4"/>
  <c r="M85" i="4"/>
  <c r="Q85" i="4"/>
  <c r="L85" i="4"/>
  <c r="H85" i="4"/>
  <c r="I85" i="4"/>
  <c r="AP84" i="4"/>
  <c r="AO84" i="4"/>
  <c r="AN84" i="4"/>
  <c r="AM84" i="4"/>
  <c r="AK84" i="4"/>
  <c r="AJ84" i="4"/>
  <c r="AI84" i="4"/>
  <c r="AH84" i="4"/>
  <c r="AF84" i="4"/>
  <c r="AE84" i="4"/>
  <c r="AD84" i="4"/>
  <c r="AC84" i="4"/>
  <c r="U84" i="4"/>
  <c r="X84" i="4"/>
  <c r="L84" i="4"/>
  <c r="AP83" i="4"/>
  <c r="AO83" i="4"/>
  <c r="AN83" i="4"/>
  <c r="AM83" i="4"/>
  <c r="AK83" i="4"/>
  <c r="AJ83" i="4"/>
  <c r="AI83" i="4"/>
  <c r="AH83" i="4"/>
  <c r="AF83" i="4"/>
  <c r="AE83" i="4"/>
  <c r="AD83" i="4"/>
  <c r="AC83" i="4"/>
  <c r="U83" i="4"/>
  <c r="X83" i="4"/>
  <c r="L83" i="4"/>
  <c r="AP82" i="4"/>
  <c r="AO82" i="4"/>
  <c r="AN82" i="4"/>
  <c r="AM82" i="4"/>
  <c r="AK82" i="4"/>
  <c r="AJ82" i="4"/>
  <c r="AI82" i="4"/>
  <c r="AH82" i="4"/>
  <c r="AF82" i="4"/>
  <c r="AE82" i="4"/>
  <c r="AD82" i="4"/>
  <c r="AC82" i="4"/>
  <c r="U82" i="4"/>
  <c r="X82" i="4"/>
  <c r="L82" i="4"/>
  <c r="AP81" i="4"/>
  <c r="AO81" i="4"/>
  <c r="AN81" i="4"/>
  <c r="AM81" i="4"/>
  <c r="AK81" i="4"/>
  <c r="AJ81" i="4"/>
  <c r="AI81" i="4"/>
  <c r="AH81" i="4"/>
  <c r="AF81" i="4"/>
  <c r="AE81" i="4"/>
  <c r="AD81" i="4"/>
  <c r="AC81" i="4"/>
  <c r="U81" i="4"/>
  <c r="X81" i="4"/>
  <c r="L81" i="4"/>
  <c r="AP80" i="4"/>
  <c r="AO80" i="4"/>
  <c r="AN80" i="4"/>
  <c r="AM80" i="4"/>
  <c r="AK80" i="4"/>
  <c r="AJ80" i="4"/>
  <c r="AI80" i="4"/>
  <c r="AH80" i="4"/>
  <c r="AF80" i="4"/>
  <c r="AE80" i="4"/>
  <c r="AD80" i="4"/>
  <c r="AC80" i="4"/>
  <c r="U80" i="4"/>
  <c r="X80" i="4"/>
  <c r="L80" i="4"/>
  <c r="AP79" i="4"/>
  <c r="AO79" i="4"/>
  <c r="AN79" i="4"/>
  <c r="AM79" i="4"/>
  <c r="AK79" i="4"/>
  <c r="AJ79" i="4"/>
  <c r="AI79" i="4"/>
  <c r="AH79" i="4"/>
  <c r="AF79" i="4"/>
  <c r="AE79" i="4"/>
  <c r="AD79" i="4"/>
  <c r="AC79" i="4"/>
  <c r="U79" i="4"/>
  <c r="X79" i="4"/>
  <c r="L79" i="4"/>
  <c r="AP78" i="4"/>
  <c r="AO78" i="4"/>
  <c r="AN78" i="4"/>
  <c r="AM78" i="4"/>
  <c r="AK78" i="4"/>
  <c r="AJ78" i="4"/>
  <c r="AI78" i="4"/>
  <c r="AH78" i="4"/>
  <c r="AF78" i="4"/>
  <c r="AE78" i="4"/>
  <c r="AD78" i="4"/>
  <c r="AC78" i="4"/>
  <c r="U78" i="4"/>
  <c r="X78" i="4"/>
  <c r="L78" i="4"/>
  <c r="AP77" i="4"/>
  <c r="AO77" i="4"/>
  <c r="AN77" i="4"/>
  <c r="AM77" i="4"/>
  <c r="AK77" i="4"/>
  <c r="AJ77" i="4"/>
  <c r="AI77" i="4"/>
  <c r="AH77" i="4"/>
  <c r="AF77" i="4"/>
  <c r="AE77" i="4"/>
  <c r="AD77" i="4"/>
  <c r="AC77" i="4"/>
  <c r="U77" i="4"/>
  <c r="X77" i="4"/>
  <c r="L77" i="4"/>
  <c r="AP76" i="4"/>
  <c r="AO76" i="4"/>
  <c r="AN76" i="4"/>
  <c r="AM76" i="4"/>
  <c r="AK76" i="4"/>
  <c r="AJ76" i="4"/>
  <c r="AI76" i="4"/>
  <c r="AH76" i="4"/>
  <c r="AF76" i="4"/>
  <c r="AE76" i="4"/>
  <c r="AD76" i="4"/>
  <c r="AC76" i="4"/>
  <c r="L76" i="4"/>
  <c r="AM68" i="4"/>
  <c r="AH68" i="4"/>
  <c r="AC68" i="4"/>
  <c r="Y64" i="4"/>
  <c r="P64" i="4"/>
  <c r="G64" i="4"/>
  <c r="Y63" i="4"/>
  <c r="P63" i="4"/>
  <c r="G63" i="4"/>
  <c r="AP60" i="4"/>
  <c r="AO60" i="4"/>
  <c r="AN60" i="4"/>
  <c r="AM60" i="4"/>
  <c r="AK60" i="4"/>
  <c r="AJ60" i="4"/>
  <c r="AI60" i="4"/>
  <c r="AH60" i="4"/>
  <c r="AF60" i="4"/>
  <c r="AE60" i="4"/>
  <c r="AD60" i="4"/>
  <c r="AC60" i="4"/>
  <c r="V60" i="4"/>
  <c r="Z60" i="4"/>
  <c r="U60" i="4"/>
  <c r="X60" i="4"/>
  <c r="M60" i="4"/>
  <c r="Q60" i="4"/>
  <c r="L60" i="4"/>
  <c r="H60" i="4"/>
  <c r="I60" i="4"/>
  <c r="AP59" i="4"/>
  <c r="AO59" i="4"/>
  <c r="AN59" i="4"/>
  <c r="AM59" i="4"/>
  <c r="AK59" i="4"/>
  <c r="AJ59" i="4"/>
  <c r="AI59" i="4"/>
  <c r="AH59" i="4"/>
  <c r="AF59" i="4"/>
  <c r="AE59" i="4"/>
  <c r="AD59" i="4"/>
  <c r="AC59" i="4"/>
  <c r="V59" i="4"/>
  <c r="Z59" i="4"/>
  <c r="U59" i="4"/>
  <c r="X59" i="4"/>
  <c r="M59" i="4"/>
  <c r="Q59" i="4"/>
  <c r="L59" i="4"/>
  <c r="H59" i="4"/>
  <c r="I59" i="4"/>
  <c r="AP58" i="4"/>
  <c r="AO58" i="4"/>
  <c r="AN58" i="4"/>
  <c r="AM58" i="4"/>
  <c r="AK58" i="4"/>
  <c r="AJ58" i="4"/>
  <c r="AI58" i="4"/>
  <c r="AH58" i="4"/>
  <c r="AF58" i="4"/>
  <c r="AE58" i="4"/>
  <c r="AD58" i="4"/>
  <c r="AC58" i="4"/>
  <c r="V58" i="4"/>
  <c r="Z58" i="4"/>
  <c r="U58" i="4"/>
  <c r="X58" i="4" s="1"/>
  <c r="M58" i="4"/>
  <c r="Q58" i="4"/>
  <c r="L58" i="4"/>
  <c r="H58" i="4"/>
  <c r="I58" i="4"/>
  <c r="AP57" i="4"/>
  <c r="AO57" i="4"/>
  <c r="AN57" i="4"/>
  <c r="AM57" i="4"/>
  <c r="AK57" i="4"/>
  <c r="AJ57" i="4"/>
  <c r="AI57" i="4"/>
  <c r="AH57" i="4"/>
  <c r="AF57" i="4"/>
  <c r="AE57" i="4"/>
  <c r="AD57" i="4"/>
  <c r="AC57" i="4"/>
  <c r="V57" i="4"/>
  <c r="Z57" i="4"/>
  <c r="U57" i="4"/>
  <c r="X57" i="4"/>
  <c r="M57" i="4"/>
  <c r="Q57" i="4"/>
  <c r="L57" i="4"/>
  <c r="H57" i="4"/>
  <c r="I57" i="4"/>
  <c r="AP56" i="4"/>
  <c r="AO56" i="4"/>
  <c r="AN56" i="4"/>
  <c r="AM56" i="4"/>
  <c r="AK56" i="4"/>
  <c r="AJ56" i="4"/>
  <c r="AI56" i="4"/>
  <c r="AH56" i="4"/>
  <c r="AF56" i="4"/>
  <c r="AE56" i="4"/>
  <c r="AD56" i="4"/>
  <c r="AC56" i="4"/>
  <c r="V56" i="4"/>
  <c r="Z56" i="4"/>
  <c r="U56" i="4"/>
  <c r="X56" i="4"/>
  <c r="M56" i="4"/>
  <c r="Q56" i="4"/>
  <c r="L56" i="4"/>
  <c r="H56" i="4"/>
  <c r="I56" i="4"/>
  <c r="AP55" i="4"/>
  <c r="AO55" i="4"/>
  <c r="AN55" i="4"/>
  <c r="AM55" i="4"/>
  <c r="AK55" i="4"/>
  <c r="AJ55" i="4"/>
  <c r="AI55" i="4"/>
  <c r="AH55" i="4"/>
  <c r="AF55" i="4"/>
  <c r="AE55" i="4"/>
  <c r="AD55" i="4"/>
  <c r="AC55" i="4"/>
  <c r="V55" i="4"/>
  <c r="Z55" i="4"/>
  <c r="U55" i="4"/>
  <c r="X55" i="4" s="1"/>
  <c r="M55" i="4"/>
  <c r="Q55" i="4"/>
  <c r="L55" i="4"/>
  <c r="H55" i="4"/>
  <c r="I55" i="4"/>
  <c r="AP54" i="4"/>
  <c r="AO54" i="4"/>
  <c r="AN54" i="4"/>
  <c r="AM54" i="4"/>
  <c r="AK54" i="4"/>
  <c r="AJ54" i="4"/>
  <c r="AI54" i="4"/>
  <c r="AH54" i="4"/>
  <c r="AF54" i="4"/>
  <c r="AE54" i="4"/>
  <c r="AD54" i="4"/>
  <c r="AC54" i="4"/>
  <c r="V54" i="4"/>
  <c r="Z54" i="4"/>
  <c r="U54" i="4"/>
  <c r="X54" i="4"/>
  <c r="M54" i="4"/>
  <c r="Q54" i="4"/>
  <c r="L54" i="4"/>
  <c r="H54" i="4"/>
  <c r="I54" i="4"/>
  <c r="AP53" i="4"/>
  <c r="AO53" i="4"/>
  <c r="AN53" i="4"/>
  <c r="AM53" i="4"/>
  <c r="AK53" i="4"/>
  <c r="AJ53" i="4"/>
  <c r="AI53" i="4"/>
  <c r="AH53" i="4"/>
  <c r="AF53" i="4"/>
  <c r="AE53" i="4"/>
  <c r="AD53" i="4"/>
  <c r="AC53" i="4"/>
  <c r="V53" i="4"/>
  <c r="Z53" i="4"/>
  <c r="U53" i="4"/>
  <c r="X53" i="4" s="1"/>
  <c r="M53" i="4"/>
  <c r="L53" i="4"/>
  <c r="H53" i="4"/>
  <c r="I53" i="4"/>
  <c r="AP52" i="4"/>
  <c r="AO52" i="4"/>
  <c r="AN52" i="4"/>
  <c r="AM52" i="4"/>
  <c r="AK52" i="4"/>
  <c r="AJ52" i="4"/>
  <c r="AI52" i="4"/>
  <c r="AH52" i="4"/>
  <c r="AF52" i="4"/>
  <c r="AE52" i="4"/>
  <c r="AD52" i="4"/>
  <c r="AC52" i="4"/>
  <c r="V52" i="4"/>
  <c r="Z52" i="4"/>
  <c r="U52" i="4"/>
  <c r="X52" i="4"/>
  <c r="M52" i="4"/>
  <c r="Q52" i="4"/>
  <c r="L52" i="4"/>
  <c r="H52" i="4"/>
  <c r="I52" i="4"/>
  <c r="AP51" i="4"/>
  <c r="AO51" i="4"/>
  <c r="AN51" i="4"/>
  <c r="AM51" i="4"/>
  <c r="AK51" i="4"/>
  <c r="AJ51" i="4"/>
  <c r="AI51" i="4"/>
  <c r="AH51" i="4"/>
  <c r="AF51" i="4"/>
  <c r="AE51" i="4"/>
  <c r="AD51" i="4"/>
  <c r="AC51" i="4"/>
  <c r="U51" i="4"/>
  <c r="X51" i="4"/>
  <c r="L51" i="4"/>
  <c r="AP50" i="4"/>
  <c r="AO50" i="4"/>
  <c r="AN50" i="4"/>
  <c r="AM50" i="4"/>
  <c r="AK50" i="4"/>
  <c r="AJ50" i="4"/>
  <c r="AI50" i="4"/>
  <c r="AH50" i="4"/>
  <c r="AF50" i="4"/>
  <c r="AE50" i="4"/>
  <c r="AD50" i="4"/>
  <c r="AC50" i="4"/>
  <c r="U50" i="4"/>
  <c r="X50" i="4"/>
  <c r="L50" i="4"/>
  <c r="AP49" i="4"/>
  <c r="AO49" i="4"/>
  <c r="AN49" i="4"/>
  <c r="AM49" i="4"/>
  <c r="AK49" i="4"/>
  <c r="AJ49" i="4"/>
  <c r="AI49" i="4"/>
  <c r="AH49" i="4"/>
  <c r="AF49" i="4"/>
  <c r="AE49" i="4"/>
  <c r="AD49" i="4"/>
  <c r="AC49" i="4"/>
  <c r="U49" i="4"/>
  <c r="X49" i="4"/>
  <c r="L49" i="4"/>
  <c r="AP48" i="4"/>
  <c r="AO48" i="4"/>
  <c r="AN48" i="4"/>
  <c r="AM48" i="4"/>
  <c r="AK48" i="4"/>
  <c r="AJ48" i="4"/>
  <c r="AI48" i="4"/>
  <c r="AH48" i="4"/>
  <c r="AF48" i="4"/>
  <c r="AE48" i="4"/>
  <c r="AD48" i="4"/>
  <c r="AC48" i="4"/>
  <c r="U48" i="4"/>
  <c r="X48" i="4"/>
  <c r="L48" i="4"/>
  <c r="AP47" i="4"/>
  <c r="AO47" i="4"/>
  <c r="AN47" i="4"/>
  <c r="AM47" i="4"/>
  <c r="AK47" i="4"/>
  <c r="AJ47" i="4"/>
  <c r="AI47" i="4"/>
  <c r="AH47" i="4"/>
  <c r="AF47" i="4"/>
  <c r="AE47" i="4"/>
  <c r="AD47" i="4"/>
  <c r="AC47" i="4"/>
  <c r="U47" i="4"/>
  <c r="X47" i="4" s="1"/>
  <c r="L47" i="4"/>
  <c r="AP46" i="4"/>
  <c r="AO46" i="4"/>
  <c r="AN46" i="4"/>
  <c r="AM46" i="4"/>
  <c r="AK46" i="4"/>
  <c r="AJ46" i="4"/>
  <c r="AI46" i="4"/>
  <c r="AH46" i="4"/>
  <c r="AF46" i="4"/>
  <c r="AE46" i="4"/>
  <c r="AD46" i="4"/>
  <c r="AC46" i="4"/>
  <c r="U46" i="4"/>
  <c r="X46" i="4"/>
  <c r="L46" i="4"/>
  <c r="AP45" i="4"/>
  <c r="AO45" i="4"/>
  <c r="AN45" i="4"/>
  <c r="AM45" i="4"/>
  <c r="AK45" i="4"/>
  <c r="AJ45" i="4"/>
  <c r="AI45" i="4"/>
  <c r="AH45" i="4"/>
  <c r="AF45" i="4"/>
  <c r="AE45" i="4"/>
  <c r="AD45" i="4"/>
  <c r="AC45" i="4"/>
  <c r="U45" i="4"/>
  <c r="X45" i="4"/>
  <c r="L45" i="4"/>
  <c r="AP44" i="4"/>
  <c r="AO44" i="4"/>
  <c r="AN44" i="4"/>
  <c r="AM44" i="4"/>
  <c r="AK44" i="4"/>
  <c r="AJ44" i="4"/>
  <c r="AI44" i="4"/>
  <c r="AH44" i="4"/>
  <c r="AF44" i="4"/>
  <c r="AE44" i="4"/>
  <c r="AD44" i="4"/>
  <c r="AC44" i="4"/>
  <c r="U44" i="4"/>
  <c r="X44" i="4" s="1"/>
  <c r="L44" i="4"/>
  <c r="AP43" i="4"/>
  <c r="AO43" i="4"/>
  <c r="AN43" i="4"/>
  <c r="AM43" i="4"/>
  <c r="AK43" i="4"/>
  <c r="AJ43" i="4"/>
  <c r="AI43" i="4"/>
  <c r="AH43" i="4"/>
  <c r="AF43" i="4"/>
  <c r="AE43" i="4"/>
  <c r="AD43" i="4"/>
  <c r="AC43" i="4"/>
  <c r="L43" i="4"/>
  <c r="AM35" i="4"/>
  <c r="AH35" i="4"/>
  <c r="AC35" i="4"/>
  <c r="AC11" i="4"/>
  <c r="AD11" i="4"/>
  <c r="AE11" i="4"/>
  <c r="AF11" i="4"/>
  <c r="AH11" i="4"/>
  <c r="AI11" i="4"/>
  <c r="AJ11" i="4"/>
  <c r="AK11" i="4"/>
  <c r="AM11" i="4"/>
  <c r="AN11" i="4"/>
  <c r="AO11" i="4"/>
  <c r="AP11" i="4"/>
  <c r="AC12" i="4"/>
  <c r="AD12" i="4"/>
  <c r="AE12" i="4"/>
  <c r="AF12" i="4"/>
  <c r="AH12" i="4"/>
  <c r="AI12" i="4"/>
  <c r="AJ12" i="4"/>
  <c r="AK12" i="4"/>
  <c r="AM12" i="4"/>
  <c r="AN12" i="4"/>
  <c r="AO12" i="4"/>
  <c r="AP12" i="4"/>
  <c r="AC13" i="4"/>
  <c r="AD13" i="4"/>
  <c r="AE13" i="4"/>
  <c r="AF13" i="4"/>
  <c r="AH13" i="4"/>
  <c r="AI13" i="4"/>
  <c r="AJ13" i="4"/>
  <c r="AK13" i="4"/>
  <c r="AM13" i="4"/>
  <c r="AN13" i="4"/>
  <c r="AO13" i="4"/>
  <c r="AP13" i="4"/>
  <c r="AC14" i="4"/>
  <c r="AD14" i="4"/>
  <c r="AE14" i="4"/>
  <c r="AF14" i="4"/>
  <c r="AH14" i="4"/>
  <c r="AI14" i="4"/>
  <c r="AJ14" i="4"/>
  <c r="AK14" i="4"/>
  <c r="AM14" i="4"/>
  <c r="AN14" i="4"/>
  <c r="AO14" i="4"/>
  <c r="AP14" i="4"/>
  <c r="AC15" i="4"/>
  <c r="AD15" i="4"/>
  <c r="AE15" i="4"/>
  <c r="AF15" i="4"/>
  <c r="AH15" i="4"/>
  <c r="AI15" i="4"/>
  <c r="AJ15" i="4"/>
  <c r="AK15" i="4"/>
  <c r="AM15" i="4"/>
  <c r="AN15" i="4"/>
  <c r="AO15" i="4"/>
  <c r="AP15" i="4"/>
  <c r="AC16" i="4"/>
  <c r="AD16" i="4"/>
  <c r="AE16" i="4"/>
  <c r="AF16" i="4"/>
  <c r="AH16" i="4"/>
  <c r="AI16" i="4"/>
  <c r="AJ16" i="4"/>
  <c r="AK16" i="4"/>
  <c r="AM16" i="4"/>
  <c r="AN16" i="4"/>
  <c r="AO16" i="4"/>
  <c r="AP16" i="4"/>
  <c r="AC17" i="4"/>
  <c r="AD17" i="4"/>
  <c r="AE17" i="4"/>
  <c r="AF17" i="4"/>
  <c r="AH17" i="4"/>
  <c r="AI17" i="4"/>
  <c r="AJ17" i="4"/>
  <c r="AK17" i="4"/>
  <c r="AM17" i="4"/>
  <c r="AN17" i="4"/>
  <c r="AO17" i="4"/>
  <c r="AP17" i="4"/>
  <c r="AC18" i="4"/>
  <c r="AD18" i="4"/>
  <c r="AE18" i="4"/>
  <c r="AF18" i="4"/>
  <c r="AH18" i="4"/>
  <c r="AI18" i="4"/>
  <c r="AJ18" i="4"/>
  <c r="AK18" i="4"/>
  <c r="AM18" i="4"/>
  <c r="AN18" i="4"/>
  <c r="AO18" i="4"/>
  <c r="AP18" i="4"/>
  <c r="AC19" i="4"/>
  <c r="AD19" i="4"/>
  <c r="AE19" i="4"/>
  <c r="AF19" i="4"/>
  <c r="AH19" i="4"/>
  <c r="AI19" i="4"/>
  <c r="AJ19" i="4"/>
  <c r="AK19" i="4"/>
  <c r="AM19" i="4"/>
  <c r="AN19" i="4"/>
  <c r="AO19" i="4"/>
  <c r="AP19" i="4"/>
  <c r="AC20" i="4"/>
  <c r="AD20" i="4"/>
  <c r="AE20" i="4"/>
  <c r="AF20" i="4"/>
  <c r="AH20" i="4"/>
  <c r="AI20" i="4"/>
  <c r="AJ20" i="4"/>
  <c r="AK20" i="4"/>
  <c r="AM20" i="4"/>
  <c r="AN20" i="4"/>
  <c r="AO20" i="4"/>
  <c r="AP20" i="4"/>
  <c r="AC21" i="4"/>
  <c r="AD21" i="4"/>
  <c r="AE21" i="4"/>
  <c r="AF21" i="4"/>
  <c r="AH21" i="4"/>
  <c r="AI21" i="4"/>
  <c r="AJ21" i="4"/>
  <c r="AK21" i="4"/>
  <c r="AM21" i="4"/>
  <c r="AN21" i="4"/>
  <c r="AO21" i="4"/>
  <c r="AP21" i="4"/>
  <c r="AC22" i="4"/>
  <c r="AD22" i="4"/>
  <c r="AE22" i="4"/>
  <c r="AF22" i="4"/>
  <c r="AH22" i="4"/>
  <c r="AI22" i="4"/>
  <c r="AJ22" i="4"/>
  <c r="AK22" i="4"/>
  <c r="AM22" i="4"/>
  <c r="AN22" i="4"/>
  <c r="AO22" i="4"/>
  <c r="AP22" i="4"/>
  <c r="AC23" i="4"/>
  <c r="AD23" i="4"/>
  <c r="AE23" i="4"/>
  <c r="AF23" i="4"/>
  <c r="AH23" i="4"/>
  <c r="AI23" i="4"/>
  <c r="AJ23" i="4"/>
  <c r="AK23" i="4"/>
  <c r="AM23" i="4"/>
  <c r="AN23" i="4"/>
  <c r="AO23" i="4"/>
  <c r="AP23" i="4"/>
  <c r="AC24" i="4"/>
  <c r="AD24" i="4"/>
  <c r="AE24" i="4"/>
  <c r="AF24" i="4"/>
  <c r="AH24" i="4"/>
  <c r="AI24" i="4"/>
  <c r="AJ24" i="4"/>
  <c r="AK24" i="4"/>
  <c r="AM24" i="4"/>
  <c r="AN24" i="4"/>
  <c r="AO24" i="4"/>
  <c r="AP24" i="4"/>
  <c r="AC25" i="4"/>
  <c r="AD25" i="4"/>
  <c r="AE25" i="4"/>
  <c r="AF25" i="4"/>
  <c r="AH25" i="4"/>
  <c r="AI25" i="4"/>
  <c r="AJ25" i="4"/>
  <c r="AK25" i="4"/>
  <c r="AM25" i="4"/>
  <c r="AN25" i="4"/>
  <c r="AO25" i="4"/>
  <c r="AP25" i="4"/>
  <c r="AC26" i="4"/>
  <c r="AD26" i="4"/>
  <c r="AE26" i="4"/>
  <c r="AF26" i="4"/>
  <c r="AH26" i="4"/>
  <c r="AI26" i="4"/>
  <c r="AJ26" i="4"/>
  <c r="AK26" i="4"/>
  <c r="AM26" i="4"/>
  <c r="AN26" i="4"/>
  <c r="AO26" i="4"/>
  <c r="AP26" i="4"/>
  <c r="AC27" i="4"/>
  <c r="AD27" i="4"/>
  <c r="AE27" i="4"/>
  <c r="AF27" i="4"/>
  <c r="AH27" i="4"/>
  <c r="AI27" i="4"/>
  <c r="AJ27" i="4"/>
  <c r="AK27" i="4"/>
  <c r="AM27" i="4"/>
  <c r="AN27" i="4"/>
  <c r="AO27" i="4"/>
  <c r="AP27" i="4"/>
  <c r="AP10" i="4"/>
  <c r="AO10" i="4"/>
  <c r="AN10" i="4"/>
  <c r="AM10" i="4"/>
  <c r="AM2" i="4"/>
  <c r="AK10" i="4"/>
  <c r="AJ10" i="4"/>
  <c r="AI10" i="4"/>
  <c r="AH10" i="4"/>
  <c r="AH2" i="4"/>
  <c r="AC2" i="4"/>
  <c r="AF10" i="4"/>
  <c r="AE10" i="4"/>
  <c r="AD10" i="4"/>
  <c r="AC10" i="4"/>
  <c r="H19" i="4"/>
  <c r="H30" i="4" s="1"/>
  <c r="H20" i="4"/>
  <c r="H21" i="4"/>
  <c r="H22" i="4"/>
  <c r="H23" i="4"/>
  <c r="H24" i="4"/>
  <c r="H25" i="4"/>
  <c r="H26" i="4"/>
  <c r="H27" i="4"/>
  <c r="Y30" i="4"/>
  <c r="P30" i="4"/>
  <c r="G30" i="4"/>
  <c r="U19" i="4"/>
  <c r="X19" i="4"/>
  <c r="V19" i="4"/>
  <c r="Z19" i="4"/>
  <c r="U20" i="4"/>
  <c r="X20" i="4" s="1"/>
  <c r="V20" i="4"/>
  <c r="Z20" i="4"/>
  <c r="U21" i="4"/>
  <c r="X21" i="4"/>
  <c r="V21" i="4"/>
  <c r="Z21" i="4"/>
  <c r="U22" i="4"/>
  <c r="X22" i="4"/>
  <c r="V22" i="4"/>
  <c r="Z22" i="4"/>
  <c r="U23" i="4"/>
  <c r="X23" i="4"/>
  <c r="V23" i="4"/>
  <c r="Z23" i="4"/>
  <c r="U24" i="4"/>
  <c r="X24" i="4"/>
  <c r="V24" i="4"/>
  <c r="Z24" i="4"/>
  <c r="U25" i="4"/>
  <c r="X25" i="4"/>
  <c r="V25" i="4"/>
  <c r="Z25" i="4"/>
  <c r="U26" i="4"/>
  <c r="X26" i="4"/>
  <c r="V26" i="4"/>
  <c r="Z26" i="4"/>
  <c r="U27" i="4"/>
  <c r="X27" i="4" s="1"/>
  <c r="V27" i="4"/>
  <c r="Z27" i="4"/>
  <c r="P31" i="4"/>
  <c r="G31" i="4"/>
  <c r="O27" i="4"/>
  <c r="M27" i="4"/>
  <c r="Q27" i="4"/>
  <c r="L27" i="4"/>
  <c r="I27" i="4"/>
  <c r="O26" i="4"/>
  <c r="M26" i="4"/>
  <c r="Q26" i="4"/>
  <c r="L26" i="4"/>
  <c r="I26" i="4"/>
  <c r="O25" i="4"/>
  <c r="M25" i="4"/>
  <c r="Q25" i="4"/>
  <c r="L25" i="4"/>
  <c r="I25" i="4"/>
  <c r="O24" i="4"/>
  <c r="M24" i="4"/>
  <c r="Q24" i="4"/>
  <c r="L24" i="4"/>
  <c r="I24" i="4"/>
  <c r="O23" i="4"/>
  <c r="M23" i="4"/>
  <c r="Q23" i="4"/>
  <c r="L23" i="4"/>
  <c r="I23" i="4"/>
  <c r="O22" i="4"/>
  <c r="M22" i="4"/>
  <c r="Q22" i="4"/>
  <c r="L22" i="4"/>
  <c r="I22" i="4"/>
  <c r="O21" i="4"/>
  <c r="M21" i="4"/>
  <c r="Q21" i="4"/>
  <c r="L21" i="4"/>
  <c r="I21" i="4"/>
  <c r="O20" i="4"/>
  <c r="M20" i="4"/>
  <c r="Q20" i="4"/>
  <c r="L20" i="4"/>
  <c r="I20" i="4"/>
  <c r="O19" i="4"/>
  <c r="M19" i="4"/>
  <c r="Q19" i="4"/>
  <c r="L19" i="4"/>
  <c r="I19" i="4"/>
  <c r="L18" i="4"/>
  <c r="L17" i="4"/>
  <c r="L16" i="4"/>
  <c r="L15" i="4"/>
  <c r="L14" i="4"/>
  <c r="L13" i="4"/>
  <c r="L12" i="4"/>
  <c r="L11" i="4"/>
  <c r="L10" i="4"/>
  <c r="H96" i="4"/>
  <c r="Z96" i="4"/>
  <c r="I96" i="4"/>
  <c r="R54" i="4"/>
  <c r="AA91" i="4"/>
  <c r="X91" i="4"/>
  <c r="X97" i="4" s="1"/>
  <c r="AE129" i="4"/>
  <c r="AO129" i="4"/>
  <c r="AP129" i="4"/>
  <c r="R21" i="4"/>
  <c r="R27" i="4"/>
  <c r="AA53" i="4"/>
  <c r="R112" i="4"/>
  <c r="R113" i="4"/>
  <c r="AA114" i="4"/>
  <c r="R117" i="4"/>
  <c r="AA119" i="4"/>
  <c r="AA121" i="4"/>
  <c r="AA123" i="4"/>
  <c r="AA124" i="4"/>
  <c r="AA117" i="4"/>
  <c r="R24" i="4"/>
  <c r="R19" i="4"/>
  <c r="R22" i="4"/>
  <c r="R25" i="4"/>
  <c r="R85" i="4"/>
  <c r="AK130" i="4"/>
  <c r="R93" i="4"/>
  <c r="R109" i="4"/>
  <c r="AI128" i="4"/>
  <c r="R116" i="4"/>
  <c r="AH129" i="4"/>
  <c r="R56" i="4"/>
  <c r="AD130" i="4"/>
  <c r="AN130" i="4"/>
  <c r="AA118" i="4"/>
  <c r="AI129" i="4"/>
  <c r="R125" i="4"/>
  <c r="R86" i="4"/>
  <c r="AF129" i="4"/>
  <c r="R121" i="4"/>
  <c r="R58" i="4"/>
  <c r="R111" i="4"/>
  <c r="AJ129" i="4"/>
  <c r="AA125" i="4"/>
  <c r="AP130" i="4"/>
  <c r="AK129" i="4"/>
  <c r="R52" i="4"/>
  <c r="AD128" i="4"/>
  <c r="AN128" i="4"/>
  <c r="AA113" i="4"/>
  <c r="AA116" i="4"/>
  <c r="AC129" i="4"/>
  <c r="AM129" i="4"/>
  <c r="R119" i="4"/>
  <c r="R124" i="4"/>
  <c r="R60" i="4"/>
  <c r="AF130" i="4"/>
  <c r="AA110" i="4"/>
  <c r="AI130" i="4"/>
  <c r="AD129" i="4"/>
  <c r="AN129" i="4"/>
  <c r="AA126" i="4"/>
  <c r="AK96" i="4"/>
  <c r="AF96" i="4"/>
  <c r="AP96" i="4"/>
  <c r="AA88" i="4"/>
  <c r="AA90" i="4"/>
  <c r="AI95" i="4"/>
  <c r="AA89" i="4"/>
  <c r="AA92" i="4"/>
  <c r="AC97" i="4"/>
  <c r="AM97" i="4"/>
  <c r="AF97" i="4"/>
  <c r="AP97" i="4"/>
  <c r="AH96" i="4"/>
  <c r="AA93" i="4"/>
  <c r="AA85" i="4"/>
  <c r="AJ96" i="4"/>
  <c r="AA86" i="4"/>
  <c r="AA59" i="4"/>
  <c r="AI96" i="4"/>
  <c r="AD96" i="4"/>
  <c r="AN96" i="4"/>
  <c r="AC96" i="4"/>
  <c r="AA54" i="4"/>
  <c r="AH97" i="4"/>
  <c r="AE96" i="4"/>
  <c r="AO96" i="4"/>
  <c r="AA87" i="4"/>
  <c r="AM96" i="4"/>
  <c r="AK97" i="4"/>
  <c r="Q96" i="4"/>
  <c r="AA58" i="4"/>
  <c r="AA57" i="4"/>
  <c r="AA60" i="4"/>
  <c r="AC63" i="4"/>
  <c r="AD62" i="4"/>
  <c r="Z63" i="4"/>
  <c r="AC62" i="4"/>
  <c r="H63" i="4"/>
  <c r="AM62" i="4"/>
  <c r="AJ63" i="4"/>
  <c r="AM63" i="4"/>
  <c r="AK63" i="4"/>
  <c r="AH64" i="4"/>
  <c r="AA55" i="4"/>
  <c r="AE63" i="4"/>
  <c r="AI62" i="4"/>
  <c r="AF63" i="4"/>
  <c r="AP63" i="4"/>
  <c r="AO63" i="4"/>
  <c r="AC64" i="4"/>
  <c r="AM64" i="4"/>
  <c r="AH63" i="4"/>
  <c r="AH62" i="4"/>
  <c r="AA52" i="4"/>
  <c r="AA56" i="4"/>
  <c r="AA26" i="4"/>
  <c r="AD29" i="4"/>
  <c r="AA25" i="4"/>
  <c r="AI29" i="4"/>
  <c r="AN29" i="4"/>
  <c r="AC29" i="4"/>
  <c r="AM30" i="4"/>
  <c r="AN31" i="4"/>
  <c r="AH30" i="4"/>
  <c r="AM31" i="4"/>
  <c r="AC31" i="4"/>
  <c r="AH29" i="4"/>
  <c r="AC30" i="4"/>
  <c r="AD31" i="4"/>
  <c r="AH31" i="4"/>
  <c r="Z30" i="4"/>
  <c r="AJ30" i="4"/>
  <c r="AO31" i="4"/>
  <c r="AE31" i="4"/>
  <c r="AJ31" i="4"/>
  <c r="AI30" i="4"/>
  <c r="AI31" i="4"/>
  <c r="AP30" i="4"/>
  <c r="AP31" i="4"/>
  <c r="AO30" i="4"/>
  <c r="AN30" i="4"/>
  <c r="AD30" i="4"/>
  <c r="AM29" i="4"/>
  <c r="AF30" i="4"/>
  <c r="AE30" i="4"/>
  <c r="AF31" i="4"/>
  <c r="AA22" i="4"/>
  <c r="AK30" i="4"/>
  <c r="AK31" i="4"/>
  <c r="AE29" i="4"/>
  <c r="AJ29" i="4"/>
  <c r="AO29" i="4"/>
  <c r="AF29" i="4"/>
  <c r="AK29" i="4"/>
  <c r="AP29" i="4"/>
  <c r="Q30" i="4"/>
  <c r="R126" i="4"/>
  <c r="R57" i="4"/>
  <c r="R110" i="4"/>
  <c r="R53" i="4"/>
  <c r="R122" i="4"/>
  <c r="Z130" i="4"/>
  <c r="Z128" i="4"/>
  <c r="AM130" i="4"/>
  <c r="AM128" i="4"/>
  <c r="AE130" i="4"/>
  <c r="AE128" i="4"/>
  <c r="AJ130" i="4"/>
  <c r="AJ128" i="4"/>
  <c r="AO130" i="4"/>
  <c r="AO128" i="4"/>
  <c r="H130" i="4"/>
  <c r="H128" i="4"/>
  <c r="AC130" i="4"/>
  <c r="AC128" i="4"/>
  <c r="AH130" i="4"/>
  <c r="AH128" i="4"/>
  <c r="R114" i="4"/>
  <c r="Q114" i="4"/>
  <c r="Q128" i="4"/>
  <c r="R118" i="4"/>
  <c r="Q118" i="4"/>
  <c r="X130" i="4"/>
  <c r="AA109" i="4"/>
  <c r="I128" i="4"/>
  <c r="I130" i="4"/>
  <c r="O130" i="4"/>
  <c r="AF128" i="4"/>
  <c r="AK128" i="4"/>
  <c r="AP128" i="4"/>
  <c r="Q122" i="4"/>
  <c r="Q126" i="4"/>
  <c r="AC95" i="4"/>
  <c r="AM95" i="4"/>
  <c r="AE97" i="4"/>
  <c r="AE95" i="4"/>
  <c r="AJ97" i="4"/>
  <c r="AJ95" i="4"/>
  <c r="AO97" i="4"/>
  <c r="AO95" i="4"/>
  <c r="AD97" i="4"/>
  <c r="AI97" i="4"/>
  <c r="AN97" i="4"/>
  <c r="AD95" i="4"/>
  <c r="AN95" i="4"/>
  <c r="AF95" i="4"/>
  <c r="AK95" i="4"/>
  <c r="AP95" i="4"/>
  <c r="R87" i="4"/>
  <c r="R88" i="4"/>
  <c r="R91" i="4"/>
  <c r="R92" i="4"/>
  <c r="AH95" i="4"/>
  <c r="R55" i="4"/>
  <c r="R59" i="4"/>
  <c r="AF64" i="4"/>
  <c r="AF62" i="4"/>
  <c r="AK64" i="4"/>
  <c r="AK62" i="4"/>
  <c r="AP64" i="4"/>
  <c r="AP62" i="4"/>
  <c r="I63" i="4"/>
  <c r="AD64" i="4"/>
  <c r="AI64" i="4"/>
  <c r="AN64" i="4"/>
  <c r="AD63" i="4"/>
  <c r="AI63" i="4"/>
  <c r="AN63" i="4"/>
  <c r="Q53" i="4"/>
  <c r="Q63" i="4"/>
  <c r="AN62" i="4"/>
  <c r="AE62" i="4"/>
  <c r="AJ62" i="4"/>
  <c r="AO62" i="4"/>
  <c r="AE64" i="4"/>
  <c r="AF65" i="4" s="1"/>
  <c r="AJ64" i="4"/>
  <c r="AK65" i="4" s="1"/>
  <c r="AO64" i="4"/>
  <c r="AP65" i="4" s="1"/>
  <c r="AA23" i="4"/>
  <c r="R26" i="4"/>
  <c r="AA19" i="4"/>
  <c r="R20" i="4"/>
  <c r="AA21" i="4"/>
  <c r="R23" i="4"/>
  <c r="AA27" i="4"/>
  <c r="AA20" i="4"/>
  <c r="AA24" i="4"/>
  <c r="AF131" i="4"/>
  <c r="Q130" i="4"/>
  <c r="AA129" i="4"/>
  <c r="AP98" i="4"/>
  <c r="AK131" i="4"/>
  <c r="AF98" i="4"/>
  <c r="AA96" i="4"/>
  <c r="AK98" i="4"/>
  <c r="R129" i="4"/>
  <c r="AF32" i="4"/>
  <c r="AP32" i="4"/>
  <c r="AK32" i="4"/>
  <c r="AA97" i="4"/>
  <c r="R96" i="4"/>
  <c r="R128" i="4"/>
  <c r="Q129" i="4"/>
  <c r="AP131" i="4"/>
  <c r="R97" i="4"/>
  <c r="AA64" i="4"/>
  <c r="R30" i="4" l="1"/>
  <c r="AA30" i="4"/>
  <c r="I30" i="4"/>
  <c r="AA29" i="4"/>
  <c r="AS99" i="4" s="1"/>
  <c r="R29" i="4"/>
  <c r="I29" i="4"/>
  <c r="I31" i="4"/>
  <c r="F7" i="4" s="1"/>
  <c r="F8" i="4" s="1"/>
  <c r="F31" i="4"/>
  <c r="H31" i="4"/>
  <c r="AA31" i="4"/>
  <c r="X7" i="4" s="1"/>
  <c r="X8" i="4" s="1"/>
  <c r="X31" i="4"/>
  <c r="R31" i="4"/>
  <c r="O7" i="4" s="1"/>
  <c r="O8" i="4" s="1"/>
  <c r="O31" i="4"/>
  <c r="Z31" i="4"/>
  <c r="Q31" i="4"/>
  <c r="H129" i="4"/>
  <c r="Z129" i="4"/>
  <c r="R130" i="4"/>
  <c r="O106" i="4" s="1"/>
  <c r="O107" i="4" s="1"/>
  <c r="F130" i="4"/>
  <c r="AA130" i="4"/>
  <c r="AA128" i="4"/>
  <c r="I129" i="4"/>
  <c r="X106" i="4"/>
  <c r="X107" i="4" s="1"/>
  <c r="F106" i="4"/>
  <c r="F107" i="4" s="1"/>
  <c r="X64" i="4"/>
  <c r="O64" i="4"/>
  <c r="F64" i="4"/>
  <c r="R63" i="4"/>
  <c r="AA63" i="4"/>
  <c r="Q62" i="4"/>
  <c r="AR98" i="4" s="1"/>
  <c r="Z64" i="4"/>
  <c r="Q64" i="4"/>
  <c r="H62" i="4"/>
  <c r="AQ98" i="4" s="1"/>
  <c r="Z62" i="4"/>
  <c r="AS98" i="4" s="1"/>
  <c r="H64" i="4"/>
  <c r="R64" i="4"/>
  <c r="R62" i="4"/>
  <c r="I62" i="4"/>
  <c r="I64" i="4"/>
  <c r="X40" i="4"/>
  <c r="X41" i="4" s="1"/>
  <c r="AR99" i="4" l="1"/>
  <c r="AQ99" i="4"/>
  <c r="F40" i="4"/>
  <c r="F41" i="4" s="1"/>
  <c r="O40" i="4"/>
  <c r="O41" i="4" s="1"/>
</calcChain>
</file>

<file path=xl/sharedStrings.xml><?xml version="1.0" encoding="utf-8"?>
<sst xmlns="http://schemas.openxmlformats.org/spreadsheetml/2006/main" count="442" uniqueCount="73">
  <si>
    <t>Spieler</t>
  </si>
  <si>
    <t>Ludwig</t>
  </si>
  <si>
    <t>Andreas</t>
  </si>
  <si>
    <t>HCP</t>
  </si>
  <si>
    <t>Spielvorgabe</t>
  </si>
  <si>
    <t>Vorgabeklasse</t>
  </si>
  <si>
    <t>Pufferzone</t>
  </si>
  <si>
    <t>Neues HCP</t>
  </si>
  <si>
    <t>PAR</t>
  </si>
  <si>
    <t>Spv</t>
  </si>
  <si>
    <t>Schläge</t>
  </si>
  <si>
    <t>Brutto</t>
  </si>
  <si>
    <t>Netto</t>
  </si>
  <si>
    <t>Bahn 1</t>
  </si>
  <si>
    <t>Bahn 2</t>
  </si>
  <si>
    <t>Bahn 3</t>
  </si>
  <si>
    <t>Bahn 4</t>
  </si>
  <si>
    <t>Bahn 5</t>
  </si>
  <si>
    <t>Bahn 6</t>
  </si>
  <si>
    <t>Bahn 7</t>
  </si>
  <si>
    <t>Bahn 8</t>
  </si>
  <si>
    <t>Bahn 9</t>
  </si>
  <si>
    <t>Bahn 10</t>
  </si>
  <si>
    <t>Bahn 11</t>
  </si>
  <si>
    <t>Bahn 12</t>
  </si>
  <si>
    <t>Bahn 13</t>
  </si>
  <si>
    <t>Bahn 14</t>
  </si>
  <si>
    <t>Bahn 15</t>
  </si>
  <si>
    <t>Bahn 16</t>
  </si>
  <si>
    <t>Bahn 17</t>
  </si>
  <si>
    <t>Bahn 18</t>
  </si>
  <si>
    <t>In</t>
  </si>
  <si>
    <t>Out</t>
  </si>
  <si>
    <t>Peter</t>
  </si>
  <si>
    <t>Allein</t>
  </si>
  <si>
    <t>Zwei</t>
  </si>
  <si>
    <t>Drei</t>
  </si>
  <si>
    <t>GC Bad Waltersdorf</t>
  </si>
  <si>
    <t>Stegersbach</t>
  </si>
  <si>
    <t>GC Murstetten</t>
  </si>
  <si>
    <t>HCP 1</t>
  </si>
  <si>
    <t>HCP 2</t>
  </si>
  <si>
    <t>HCP 3</t>
  </si>
  <si>
    <t>HCP 4</t>
  </si>
  <si>
    <t>HCP 5</t>
  </si>
  <si>
    <t>HCP 6</t>
  </si>
  <si>
    <t>HCP 7</t>
  </si>
  <si>
    <t>HCP 8</t>
  </si>
  <si>
    <t>HCP 9</t>
  </si>
  <si>
    <t>HCP 10</t>
  </si>
  <si>
    <t>HCP 11</t>
  </si>
  <si>
    <t>HCP 12</t>
  </si>
  <si>
    <t>HCP 13</t>
  </si>
  <si>
    <t>HCP 14</t>
  </si>
  <si>
    <t>HCP 15</t>
  </si>
  <si>
    <t>HCP 16</t>
  </si>
  <si>
    <t>HCP 17</t>
  </si>
  <si>
    <t>HCP 18</t>
  </si>
  <si>
    <t>DGV-Vorgabenklasse</t>
  </si>
  <si>
    <t>DGV-Stammvorgaben</t>
  </si>
  <si>
    <t>Heraufsetzungswert</t>
  </si>
  <si>
    <t>Herabsetzungsmultiplikand für jeden Punkt oberhalb der Pufferzone</t>
  </si>
  <si>
    <t>gewertete Stableford-Nettopunkte</t>
  </si>
  <si>
    <t>bis 4,4</t>
  </si>
  <si>
    <t>4,5 bis 11,4</t>
  </si>
  <si>
    <t>11,5 bis 18,4</t>
  </si>
  <si>
    <t>18,5 bis 26,4</t>
  </si>
  <si>
    <t>26,5 bis 36,0</t>
  </si>
  <si>
    <t>37 bis 54</t>
  </si>
  <si>
    <t>Stammv.</t>
  </si>
  <si>
    <t>Herabsetzung</t>
  </si>
  <si>
    <t>Netto-Punkte gem. Stableford bei Herabsetzung</t>
  </si>
  <si>
    <t>GC Iffeldorf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</si>
</sst>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4" fontId="0" fillId="0" borderId="5" xfId="0" applyNumberFormat="1" applyBorder="1"/>
    <xf numFmtId="164" fontId="0" fillId="0" borderId="6" xfId="0" applyNumberFormat="1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1" xfId="0" applyFont="1" applyBorder="1"/>
    <xf numFmtId="0" fontId="5" fillId="3" borderId="5" xfId="0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6" xfId="0" applyFont="1" applyFill="1" applyBorder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3" fillId="0" borderId="6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vertical="top" wrapText="1" shrinkToFit="1"/>
    </xf>
    <xf numFmtId="0" fontId="1" fillId="0" borderId="3" xfId="0" applyFont="1" applyBorder="1" applyAlignment="1">
      <alignment vertical="top" wrapText="1" shrinkToFit="1"/>
    </xf>
    <xf numFmtId="0" fontId="1" fillId="0" borderId="3" xfId="0" applyFont="1" applyBorder="1" applyAlignment="1">
      <alignment horizontal="center" vertical="top" wrapText="1" shrinkToFit="1"/>
    </xf>
    <xf numFmtId="0" fontId="1" fillId="0" borderId="5" xfId="0" applyFont="1" applyBorder="1" applyAlignment="1">
      <alignment vertical="top" wrapText="1" shrinkToFit="1"/>
    </xf>
    <xf numFmtId="0" fontId="1" fillId="0" borderId="0" xfId="0" applyFont="1" applyAlignment="1">
      <alignment vertical="top" wrapText="1" shrinkToFit="1"/>
    </xf>
    <xf numFmtId="0" fontId="1" fillId="0" borderId="0" xfId="0" applyFont="1" applyAlignment="1">
      <alignment horizontal="center" vertical="top" wrapText="1" shrinkToFit="1"/>
    </xf>
    <xf numFmtId="165" fontId="0" fillId="0" borderId="0" xfId="0" applyNumberFormat="1"/>
    <xf numFmtId="0" fontId="1" fillId="6" borderId="1" xfId="0" applyFont="1" applyFill="1" applyBorder="1" applyAlignment="1">
      <alignment horizontal="center"/>
    </xf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164" fontId="1" fillId="6" borderId="10" xfId="0" applyNumberFormat="1" applyFont="1" applyFill="1" applyBorder="1" applyAlignment="1">
      <alignment horizontal="center"/>
    </xf>
    <xf numFmtId="164" fontId="1" fillId="6" borderId="11" xfId="0" applyNumberFormat="1" applyFont="1" applyFill="1" applyBorder="1" applyAlignment="1">
      <alignment horizontal="center"/>
    </xf>
    <xf numFmtId="164" fontId="1" fillId="6" borderId="12" xfId="0" applyNumberFormat="1" applyFont="1" applyFill="1" applyBorder="1" applyAlignment="1">
      <alignment horizontal="center"/>
    </xf>
    <xf numFmtId="0" fontId="1" fillId="6" borderId="1" xfId="0" applyFont="1" applyFill="1" applyBorder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4" xfId="0" applyFont="1" applyBorder="1" applyAlignment="1">
      <alignment vertical="top" wrapText="1" shrinkToFit="1"/>
    </xf>
    <xf numFmtId="0" fontId="1" fillId="0" borderId="6" xfId="0" applyFont="1" applyBorder="1" applyAlignment="1">
      <alignment vertical="top" wrapText="1" shrinkToFit="1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</cellXfs>
  <cellStyles count="2">
    <cellStyle name="Erklärender Text" xfId="1" builtinId="5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114300</xdr:rowOff>
    </xdr:from>
    <xdr:to>
      <xdr:col>23</xdr:col>
      <xdr:colOff>200025</xdr:colOff>
      <xdr:row>10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114300"/>
          <a:ext cx="5372100" cy="251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31"/>
  <sheetViews>
    <sheetView tabSelected="1" workbookViewId="0">
      <selection activeCell="Q21" sqref="Q21"/>
    </sheetView>
  </sheetViews>
  <sheetFormatPr baseColWidth="10" defaultColWidth="10.7109375" defaultRowHeight="15" outlineLevelCol="1" x14ac:dyDescent="0.25"/>
  <cols>
    <col min="1" max="1" width="13.85546875" bestFit="1" customWidth="1"/>
    <col min="2" max="2" width="7.85546875" bestFit="1" customWidth="1"/>
    <col min="3" max="4" width="4.5703125" bestFit="1" customWidth="1"/>
    <col min="5" max="5" width="1.7109375" customWidth="1"/>
    <col min="6" max="6" width="4.5703125" bestFit="1" customWidth="1"/>
    <col min="7" max="7" width="7.7109375" bestFit="1" customWidth="1"/>
    <col min="8" max="8" width="6.5703125" bestFit="1" customWidth="1"/>
    <col min="9" max="9" width="6.140625" bestFit="1" customWidth="1"/>
    <col min="10" max="10" width="2.140625" customWidth="1"/>
    <col min="11" max="11" width="7.85546875" bestFit="1" customWidth="1"/>
    <col min="12" max="13" width="4.5703125" bestFit="1" customWidth="1"/>
    <col min="14" max="14" width="2" customWidth="1"/>
    <col min="15" max="15" width="4.5703125" bestFit="1" customWidth="1"/>
    <col min="16" max="16" width="7.7109375" bestFit="1" customWidth="1"/>
    <col min="17" max="17" width="6.5703125" bestFit="1" customWidth="1"/>
    <col min="18" max="18" width="6.140625" bestFit="1" customWidth="1"/>
    <col min="19" max="19" width="2.140625" customWidth="1"/>
    <col min="20" max="20" width="7.85546875" bestFit="1" customWidth="1"/>
    <col min="21" max="22" width="4.5703125" bestFit="1" customWidth="1"/>
    <col min="23" max="23" width="2" customWidth="1"/>
    <col min="24" max="24" width="4.5703125" bestFit="1" customWidth="1"/>
    <col min="25" max="25" width="7.7109375" bestFit="1" customWidth="1"/>
    <col min="26" max="26" width="6.5703125" bestFit="1" customWidth="1"/>
    <col min="27" max="27" width="6.140625" bestFit="1" customWidth="1"/>
    <col min="28" max="28" width="2.7109375" customWidth="1"/>
    <col min="29" max="29" width="6.28515625" hidden="1" customWidth="1" outlineLevel="1"/>
    <col min="30" max="31" width="5.28515625" hidden="1" customWidth="1" outlineLevel="1"/>
    <col min="32" max="32" width="4.7109375" hidden="1" customWidth="1" outlineLevel="1"/>
    <col min="33" max="33" width="2.85546875" hidden="1" customWidth="1" outlineLevel="1"/>
    <col min="34" max="34" width="6.28515625" hidden="1" customWidth="1" outlineLevel="1"/>
    <col min="35" max="36" width="5.28515625" hidden="1" customWidth="1" outlineLevel="1"/>
    <col min="37" max="37" width="4.7109375" hidden="1" customWidth="1" outlineLevel="1"/>
    <col min="38" max="38" width="2.85546875" hidden="1" customWidth="1" outlineLevel="1"/>
    <col min="39" max="39" width="8.42578125" hidden="1" customWidth="1" outlineLevel="1"/>
    <col min="40" max="41" width="5.28515625" hidden="1" customWidth="1" outlineLevel="1"/>
    <col min="42" max="42" width="4.7109375" hidden="1" customWidth="1" outlineLevel="1"/>
    <col min="43" max="43" width="11.42578125" collapsed="1"/>
  </cols>
  <sheetData>
    <row r="1" spans="1:42" ht="19.5" thickBot="1" x14ac:dyDescent="0.35">
      <c r="B1" s="44" t="s">
        <v>72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</row>
    <row r="2" spans="1:42" x14ac:dyDescent="0.25">
      <c r="A2" s="20" t="s">
        <v>0</v>
      </c>
      <c r="B2" s="47" t="s">
        <v>1</v>
      </c>
      <c r="C2" s="48"/>
      <c r="D2" s="48"/>
      <c r="E2" s="48"/>
      <c r="F2" s="48"/>
      <c r="G2" s="48"/>
      <c r="H2" s="48"/>
      <c r="I2" s="49"/>
      <c r="K2" s="47" t="s">
        <v>2</v>
      </c>
      <c r="L2" s="48"/>
      <c r="M2" s="48"/>
      <c r="N2" s="48"/>
      <c r="O2" s="48"/>
      <c r="P2" s="48"/>
      <c r="Q2" s="48"/>
      <c r="R2" s="49"/>
      <c r="T2" s="47" t="s">
        <v>33</v>
      </c>
      <c r="U2" s="48"/>
      <c r="V2" s="48"/>
      <c r="W2" s="48"/>
      <c r="X2" s="48"/>
      <c r="Y2" s="48"/>
      <c r="Z2" s="48"/>
      <c r="AA2" s="49"/>
      <c r="AC2" s="48" t="str">
        <f>B2</f>
        <v>Ludwig</v>
      </c>
      <c r="AD2" s="48"/>
      <c r="AE2" s="48"/>
      <c r="AF2" s="48"/>
      <c r="AH2" s="48" t="str">
        <f>K2</f>
        <v>Andreas</v>
      </c>
      <c r="AI2" s="48"/>
      <c r="AJ2" s="48"/>
      <c r="AK2" s="48"/>
      <c r="AM2" s="48" t="str">
        <f>T2</f>
        <v>Peter</v>
      </c>
      <c r="AN2" s="48"/>
      <c r="AO2" s="48"/>
      <c r="AP2" s="48"/>
    </row>
    <row r="3" spans="1:42" x14ac:dyDescent="0.25">
      <c r="A3" s="21" t="s">
        <v>3</v>
      </c>
      <c r="B3" s="7"/>
      <c r="C3" s="4"/>
      <c r="D3" s="4"/>
      <c r="E3" s="4"/>
      <c r="F3" s="41">
        <v>17.399999999999999</v>
      </c>
      <c r="G3" s="4"/>
      <c r="H3" s="4"/>
      <c r="I3" s="8"/>
      <c r="J3" s="4"/>
      <c r="K3" s="7"/>
      <c r="L3" s="4"/>
      <c r="M3" s="4"/>
      <c r="N3" s="4"/>
      <c r="O3" s="41">
        <v>21.3</v>
      </c>
      <c r="P3" s="4"/>
      <c r="Q3" s="4"/>
      <c r="R3" s="8"/>
      <c r="S3" s="4"/>
      <c r="T3" s="7"/>
      <c r="U3" s="4"/>
      <c r="V3" s="4"/>
      <c r="W3" s="4"/>
      <c r="X3" s="41">
        <v>26.3</v>
      </c>
      <c r="Y3" s="4"/>
      <c r="Z3" s="4"/>
      <c r="AA3" s="8"/>
    </row>
    <row r="4" spans="1:42" x14ac:dyDescent="0.25">
      <c r="A4" s="20" t="s">
        <v>4</v>
      </c>
      <c r="B4" s="9"/>
      <c r="F4" s="6">
        <v>19</v>
      </c>
      <c r="I4" s="10"/>
      <c r="K4" s="9"/>
      <c r="O4" s="6">
        <v>24</v>
      </c>
      <c r="R4" s="10"/>
      <c r="T4" s="9"/>
      <c r="X4" s="6">
        <v>26</v>
      </c>
      <c r="AA4" s="10"/>
    </row>
    <row r="5" spans="1:42" x14ac:dyDescent="0.25">
      <c r="A5" s="15" t="s">
        <v>5</v>
      </c>
      <c r="B5" s="9"/>
      <c r="F5" s="3">
        <f>IF(F3&lt;4.4,1,IF(AND(F3&gt;=4.5,F3&lt;=11.4),2,IF(AND(F3&gt;=11.5,F3&lt;=18.4),3,IF(AND(F3&gt;=18.5,F3&lt;=26.4),4,IF(AND(F3&gt;=26.5,F3&lt;=36),5,IF(F3&gt;=36,6))))))</f>
        <v>3</v>
      </c>
      <c r="I5" s="10"/>
      <c r="K5" s="9"/>
      <c r="O5" s="3">
        <f>IF(O3&lt;4.4,1,IF(AND(O3&gt;=4.5,O3&lt;=11.4),2,IF(AND(O3&gt;=11.5,O3&lt;=18.4),3,IF(AND(O3&gt;=18.5,O3&lt;=26.4),4,IF(AND(O3&gt;=26.5,O3&lt;=36),5,IF(O3&gt;=36,6))))))</f>
        <v>4</v>
      </c>
      <c r="R5" s="10"/>
      <c r="T5" s="9"/>
      <c r="X5" s="3">
        <f>IF(X3&lt;4.4,1,IF(AND(X3&gt;=4.5,X3&lt;=11.4),2,IF(AND(X3&gt;=11.5,X3&lt;=18.4),3,IF(AND(X3&gt;=18.5,X3&lt;=26.4),4,IF(AND(X3&gt;=26.5,X3&lt;=36),5,IF(X3&gt;=36,6))))))</f>
        <v>4</v>
      </c>
      <c r="AA5" s="10"/>
    </row>
    <row r="6" spans="1:42" x14ac:dyDescent="0.25">
      <c r="A6" s="15" t="s">
        <v>6</v>
      </c>
      <c r="B6" s="9"/>
      <c r="F6" s="42">
        <f>VLOOKUP(F5,HCP!$A$6:$C$11,3,FALSE)</f>
        <v>33</v>
      </c>
      <c r="I6" s="10"/>
      <c r="K6" s="9"/>
      <c r="O6" s="42">
        <f>VLOOKUP(O5,HCP!$A$6:$C$11,3,FALSE)</f>
        <v>32</v>
      </c>
      <c r="R6" s="10"/>
      <c r="T6" s="9"/>
      <c r="X6" s="42">
        <f>VLOOKUP(X5,HCP!$A$6:$C$11,3,FALSE)</f>
        <v>32</v>
      </c>
      <c r="AA6" s="10"/>
    </row>
    <row r="7" spans="1:42" x14ac:dyDescent="0.25">
      <c r="A7" s="15"/>
      <c r="B7" s="9"/>
      <c r="F7" s="25" t="str">
        <f>IF(I31&gt;36,"Herabsetzung",IF(AND(I31&lt;=36,I31&gt;=F6),"Puffer","Heraufsetzung"))</f>
        <v>Heraufsetzung</v>
      </c>
      <c r="I7" s="10"/>
      <c r="K7" s="9"/>
      <c r="O7" s="25" t="str">
        <f>IF(R31&gt;36,"Herabsetzung",IF(AND(R31&lt;=36,R31&gt;=O6),"Puffer","Heraufsetzung"))</f>
        <v>Heraufsetzung</v>
      </c>
      <c r="R7" s="10"/>
      <c r="T7" s="9"/>
      <c r="X7" s="25" t="str">
        <f>IF(AA31&gt;36,"Herabsetzung",IF(AND(AA31&lt;=36,AA31&gt;=X6),"Puffer","Heraufsetzung"))</f>
        <v>Heraufsetzung</v>
      </c>
      <c r="AA7" s="10"/>
    </row>
    <row r="8" spans="1:42" x14ac:dyDescent="0.25">
      <c r="A8" s="15" t="s">
        <v>7</v>
      </c>
      <c r="B8" s="9"/>
      <c r="F8" s="42">
        <f>IF(F7="Heraufsetzung",INDEX(HCP!$C$395:$D$755,MATCH(F3,HCP!$C$394:$C$755,0),MATCH($A$8,HCP!$D$394,0)),IF(F7="Puffer",F3,IF(F7="Herabsetzung",INDEX(HCP!$C$29:$AK$389,MATCH(F3,HCP!$C$29:$C$389,0),MATCH(I31,HCP!$C$28:$AK$28,0)))))</f>
        <v>17.5</v>
      </c>
      <c r="I8" s="10"/>
      <c r="K8" s="9"/>
      <c r="O8" s="42">
        <f>IF(O7="Heraufsetzung",INDEX(HCP!$C$395:$D$755,MATCH(O3,HCP!$C$394:$C$755,0),MATCH($A$8,HCP!$D$394,0)),IF(O7="Puffer",O3,IF(O7="Herabsetzung",INDEX(HCP!$C$29:$AK$389,MATCH(O3,HCP!$C$29:$C$389,0),MATCH(R31,HCP!$C$28:$AK$28,0)))))</f>
        <v>21.4</v>
      </c>
      <c r="R8" s="10"/>
      <c r="T8" s="9"/>
      <c r="X8" s="42">
        <f>IF(X7="Heraufsetzung",INDEX(HCP!$C$395:$D$755,MATCH(X3,HCP!$C$394:$C$755,0),MATCH($A$8,HCP!$D$394,0)),IF(X7="Puffer",X3,IF(X7="Herabsetzung",INDEX(HCP!$C$29:$AK$389,MATCH(X3,HCP!$C$29:$C$389,0),MATCH(AA31,HCP!$C$28:$AK$28,0)))))</f>
        <v>26.4</v>
      </c>
      <c r="AA8" s="10"/>
    </row>
    <row r="9" spans="1:42" x14ac:dyDescent="0.25">
      <c r="B9" s="9"/>
      <c r="C9" t="s">
        <v>3</v>
      </c>
      <c r="D9" t="s">
        <v>8</v>
      </c>
      <c r="F9" t="s">
        <v>9</v>
      </c>
      <c r="G9" t="s">
        <v>10</v>
      </c>
      <c r="H9" t="s">
        <v>11</v>
      </c>
      <c r="I9" s="10" t="s">
        <v>12</v>
      </c>
      <c r="K9" s="9"/>
      <c r="L9" t="s">
        <v>3</v>
      </c>
      <c r="M9" t="s">
        <v>8</v>
      </c>
      <c r="O9" t="s">
        <v>9</v>
      </c>
      <c r="P9" t="s">
        <v>10</v>
      </c>
      <c r="Q9" t="s">
        <v>11</v>
      </c>
      <c r="R9" s="10" t="s">
        <v>12</v>
      </c>
      <c r="T9" s="9"/>
      <c r="U9" t="s">
        <v>3</v>
      </c>
      <c r="V9" t="s">
        <v>8</v>
      </c>
      <c r="X9" t="s">
        <v>9</v>
      </c>
      <c r="Y9" t="s">
        <v>10</v>
      </c>
      <c r="Z9" t="s">
        <v>11</v>
      </c>
      <c r="AA9" s="10" t="s">
        <v>12</v>
      </c>
      <c r="AC9" t="s">
        <v>34</v>
      </c>
      <c r="AD9" t="s">
        <v>35</v>
      </c>
      <c r="AE9" t="s">
        <v>35</v>
      </c>
      <c r="AF9" t="s">
        <v>36</v>
      </c>
      <c r="AH9" t="s">
        <v>34</v>
      </c>
      <c r="AI9" t="s">
        <v>35</v>
      </c>
      <c r="AJ9" t="s">
        <v>35</v>
      </c>
      <c r="AK9" t="s">
        <v>36</v>
      </c>
      <c r="AM9" t="s">
        <v>34</v>
      </c>
      <c r="AN9" t="s">
        <v>35</v>
      </c>
      <c r="AO9" t="s">
        <v>35</v>
      </c>
      <c r="AP9" t="s">
        <v>36</v>
      </c>
    </row>
    <row r="10" spans="1:42" x14ac:dyDescent="0.25">
      <c r="B10" s="9" t="s">
        <v>13</v>
      </c>
      <c r="C10" s="43">
        <v>3</v>
      </c>
      <c r="D10" s="43">
        <v>4</v>
      </c>
      <c r="F10">
        <f>INDEX(Basis!$C$2:$BJ$19,MATCH($C10,Basis!$B$2:$B$19,0),MATCH(F$4,Basis!$C$1:$BJ$1,0))</f>
        <v>1</v>
      </c>
      <c r="G10" s="3"/>
      <c r="H10" s="3">
        <f>IF(G10="",0,IF(G10-D10=0,2,IF(G10-D10=-1,3,IF(G10-D10=-2,4,IF(G10-D10=-3,5,IF(G10-D10=-4,6,IF(G10-D10=1,1,IF(G10-D10&gt;=2,0,))))))))</f>
        <v>0</v>
      </c>
      <c r="I10" s="11">
        <f t="shared" ref="I10:I27" si="0">IF(G10="",0,IF(G10-F10-D10=0,2,IF(G10-F10-D10=-1,3,IF(G10-F10-D10=-2,4,IF(G10-F10-D10=-3,5,IF(G10-F10-D10=-4,6,IF(G10-F10-D10=1,1,IF(G10-F10-D10&gt;=2,0,))))))))</f>
        <v>0</v>
      </c>
      <c r="K10" s="9" t="s">
        <v>13</v>
      </c>
      <c r="L10" s="3">
        <f t="shared" ref="L10:L27" si="1">C10</f>
        <v>3</v>
      </c>
      <c r="M10" s="3">
        <f t="shared" ref="M10:M27" si="2">D10</f>
        <v>4</v>
      </c>
      <c r="O10">
        <f>INDEX(Basis!$C$2:$BJ$19,MATCH($C10,Basis!$B$2:$B$19,0),MATCH(O$4,Basis!$C$1:$BJ$1,0))</f>
        <v>2</v>
      </c>
      <c r="P10" s="3"/>
      <c r="Q10" s="3">
        <f>IF(P10="",0,IF(P10-M10=0,2,IF(P10-M10=-1,3,IF(P10-M10=-2,4,IF(P10-M10=-3,5,IF(P10-M10=-4,6,IF(P10-M10=1,1,IF(P10-M10&gt;=2,0,))))))))</f>
        <v>0</v>
      </c>
      <c r="R10" s="11">
        <f>IF(P10="",0,IF(P10-O10-M10=0,2,IF(P10-O10-M10=-1,3,IF(P10-O10-M10=-2,4,IF(P10-O10-M10=-3,5,IF(P10-O10-M10=-4,6,IF(P10-O10-M10=1,1,IF(P10-O10-M10&gt;=2,0,))))))))</f>
        <v>0</v>
      </c>
      <c r="T10" s="9" t="s">
        <v>13</v>
      </c>
      <c r="U10" s="3">
        <f>C10</f>
        <v>3</v>
      </c>
      <c r="V10" s="3">
        <f>D10</f>
        <v>4</v>
      </c>
      <c r="X10">
        <f>INDEX(Basis!$C$2:$BJ$19,MATCH($U10,Basis!$B$2:$B$19,0),MATCH(X$4,Basis!$C$1:$BJ$1,0))</f>
        <v>2</v>
      </c>
      <c r="Y10" s="3"/>
      <c r="Z10" s="3">
        <f>IF(Y10="",0,IF(Y10-V10=0,2,IF(Y10-V10=-1,3,IF(Y10-V10=-2,4,IF(Y10-V10=-3,5,IF(Y10-V10=-4,6,IF(Y10-V10=1,1,IF(Y10-V10&gt;=2,0,))))))))</f>
        <v>0</v>
      </c>
      <c r="AA10" s="11">
        <f>IF(Y10="",0,IF(Y10-X10-V10=0,2,IF(Y10-X10-V10=-1,3,IF(Y10-X10-V10=-2,4,IF(Y10-X10-V10=-3,5,IF(Y10-X10-V10=-4,6,IF(Y10-X10-V10=1,1,IF(Y10-X10-V10&gt;=2,0,))))))))</f>
        <v>0</v>
      </c>
      <c r="AC10">
        <f>IF(AND(G10&lt;P10,G10&lt;Y10),2,0)</f>
        <v>0</v>
      </c>
      <c r="AD10">
        <f>IF(AND(G10&lt;P10,G10=Y10),1,0)</f>
        <v>0</v>
      </c>
      <c r="AE10">
        <f>IF(AND(G10=P10,G10&lt;Y10),1,0)</f>
        <v>0</v>
      </c>
      <c r="AF10">
        <f>IF(AND(G10=P10,G10=Y10),1,0)</f>
        <v>1</v>
      </c>
      <c r="AH10">
        <f>IF(AND(P10&lt;G10,P10&lt;Y10),2,0)</f>
        <v>0</v>
      </c>
      <c r="AI10">
        <f>IF(AND(P10=G10,P10&lt;Y10),1,0)</f>
        <v>0</v>
      </c>
      <c r="AJ10">
        <f>IF(AND(P10=Y10,P10&lt;G10),1,0)</f>
        <v>0</v>
      </c>
      <c r="AK10">
        <f>IF(AND(P10=G10,P10=Y10),1,0)</f>
        <v>1</v>
      </c>
      <c r="AM10">
        <f>IF(AND(Y10&lt;G10,Y10&lt;P10),2,0)</f>
        <v>0</v>
      </c>
      <c r="AN10">
        <f>IF(AND(Y10=G10,Y10&lt;P10),1,0)</f>
        <v>0</v>
      </c>
      <c r="AO10">
        <f>IF(AND(Y10=P10,Y10&lt;G10),1,0)</f>
        <v>0</v>
      </c>
      <c r="AP10">
        <f>IF(AND(Y10=G10,Y10=P10),1,0)</f>
        <v>1</v>
      </c>
    </row>
    <row r="11" spans="1:42" x14ac:dyDescent="0.25">
      <c r="B11" s="9" t="s">
        <v>14</v>
      </c>
      <c r="C11" s="43">
        <v>9</v>
      </c>
      <c r="D11" s="43">
        <v>5</v>
      </c>
      <c r="F11">
        <f>INDEX(Basis!$C$2:$BJ$19,MATCH($C11,Basis!$B$2:$B$19,0),MATCH(F$4,Basis!$C$1:$BJ$1,0))</f>
        <v>1</v>
      </c>
      <c r="G11" s="3"/>
      <c r="H11" s="3">
        <f t="shared" ref="H11:H27" si="3">IF(G11="",0,IF(G11-D11=0,2,IF(G11-D11=-1,3,IF(G11-D11=-2,4,IF(G11-D11=-3,5,IF(G11-D11=-4,6,IF(G11-D11=1,1,IF(G11-D11&gt;=2,0,))))))))</f>
        <v>0</v>
      </c>
      <c r="I11" s="11">
        <f t="shared" si="0"/>
        <v>0</v>
      </c>
      <c r="K11" s="9" t="s">
        <v>14</v>
      </c>
      <c r="L11" s="3">
        <f t="shared" si="1"/>
        <v>9</v>
      </c>
      <c r="M11" s="3">
        <f t="shared" si="2"/>
        <v>5</v>
      </c>
      <c r="O11">
        <f>INDEX(Basis!$C$2:$BJ$19,MATCH($C11,Basis!$B$2:$B$19,0),MATCH(O$4,Basis!$C$1:$BJ$1,0))</f>
        <v>1</v>
      </c>
      <c r="P11" s="3"/>
      <c r="Q11" s="3">
        <f t="shared" ref="Q11:Q27" si="4">IF(P11="",0,IF(P11-M11=0,2,IF(P11-M11=-1,3,IF(P11-M11=-2,4,IF(P11-M11=-3,5,IF(P11-M11=-4,6,IF(P11-M11=1,1,IF(P11-M11&gt;=2,0,))))))))</f>
        <v>0</v>
      </c>
      <c r="R11" s="11">
        <f t="shared" ref="R11:R27" si="5">IF(P11="",0,IF(P11-O11-M11=0,2,IF(P11-O11-M11=-1,3,IF(P11-O11-M11=-2,4,IF(P11-O11-M11=-3,5,IF(P11-O11-M11=-4,6,IF(P11-O11-M11=1,1,IF(P11-O11-M11&gt;=2,0,))))))))</f>
        <v>0</v>
      </c>
      <c r="T11" s="9" t="s">
        <v>14</v>
      </c>
      <c r="U11" s="3">
        <f t="shared" ref="U11:U27" si="6">C11</f>
        <v>9</v>
      </c>
      <c r="V11" s="3">
        <f t="shared" ref="V11:V27" si="7">D11</f>
        <v>5</v>
      </c>
      <c r="X11">
        <f>INDEX(Basis!$C$2:$BJ$19,MATCH($U11,Basis!$B$2:$B$19,0),MATCH(X$4,Basis!$C$1:$BJ$1,0))</f>
        <v>1</v>
      </c>
      <c r="Y11" s="3"/>
      <c r="Z11" s="3">
        <f t="shared" ref="Z11:Z27" si="8">IF(Y11="",0,IF(Y11-V11=0,2,IF(Y11-V11=-1,3,IF(Y11-V11=-2,4,IF(Y11-V11=-3,5,IF(Y11-V11=-4,6,IF(Y11-V11=1,1,IF(Y11-V11&gt;=2,0,))))))))</f>
        <v>0</v>
      </c>
      <c r="AA11" s="11">
        <f t="shared" ref="AA11:AA27" si="9">IF(Y11="",0,IF(Y11-X11-V11=0,2,IF(Y11-X11-V11=-1,3,IF(Y11-X11-V11=-2,4,IF(Y11-X11-V11=-3,5,IF(Y11-X11-V11=-4,6,IF(Y11-X11-V11=1,1,IF(Y11-X11-V11&gt;=2,0,))))))))</f>
        <v>0</v>
      </c>
      <c r="AC11">
        <f t="shared" ref="AC11:AC27" si="10">IF(AND(G11&lt;P11,G11&lt;Y11),2,0)</f>
        <v>0</v>
      </c>
      <c r="AD11">
        <f t="shared" ref="AD11:AD27" si="11">IF(AND(G11&lt;P11,G11=Y11),1,0)</f>
        <v>0</v>
      </c>
      <c r="AE11">
        <f t="shared" ref="AE11:AE27" si="12">IF(AND(G11=P11,G11&lt;Y11),1,0)</f>
        <v>0</v>
      </c>
      <c r="AF11">
        <f t="shared" ref="AF11:AF27" si="13">IF(AND(G11=P11,G11=Y11),1,0)</f>
        <v>1</v>
      </c>
      <c r="AH11">
        <f t="shared" ref="AH11:AH27" si="14">IF(AND(P11&lt;G11,P11&lt;Y11),2,0)</f>
        <v>0</v>
      </c>
      <c r="AI11">
        <f t="shared" ref="AI11:AI27" si="15">IF(AND(P11=G11,P11&lt;Y11),1,0)</f>
        <v>0</v>
      </c>
      <c r="AJ11">
        <f t="shared" ref="AJ11:AJ27" si="16">IF(AND(P11=Y11,P11&lt;G11),1,0)</f>
        <v>0</v>
      </c>
      <c r="AK11">
        <f t="shared" ref="AK11:AK27" si="17">IF(AND(P11=G11,P11=Y11),1,0)</f>
        <v>1</v>
      </c>
      <c r="AM11">
        <f t="shared" ref="AM11:AM27" si="18">IF(AND(Y11&lt;G11,Y11&lt;P11),2,0)</f>
        <v>0</v>
      </c>
      <c r="AN11">
        <f t="shared" ref="AN11:AN27" si="19">IF(AND(Y11=G11,Y11&lt;P11),1,0)</f>
        <v>0</v>
      </c>
      <c r="AO11">
        <f t="shared" ref="AO11:AO27" si="20">IF(AND(Y11=P11,Y11&lt;G11),1,0)</f>
        <v>0</v>
      </c>
      <c r="AP11">
        <f t="shared" ref="AP11:AP27" si="21">IF(AND(Y11=G11,Y11=P11),1,0)</f>
        <v>1</v>
      </c>
    </row>
    <row r="12" spans="1:42" x14ac:dyDescent="0.25">
      <c r="B12" s="9" t="s">
        <v>15</v>
      </c>
      <c r="C12" s="43">
        <v>7</v>
      </c>
      <c r="D12" s="43">
        <v>4</v>
      </c>
      <c r="F12">
        <f>INDEX(Basis!$C$2:$BJ$19,MATCH($C12,Basis!$B$2:$B$19,0),MATCH(F$4,Basis!$C$1:$BJ$1,0))</f>
        <v>1</v>
      </c>
      <c r="G12" s="3"/>
      <c r="H12" s="3">
        <f t="shared" si="3"/>
        <v>0</v>
      </c>
      <c r="I12" s="11">
        <f t="shared" si="0"/>
        <v>0</v>
      </c>
      <c r="K12" s="9" t="s">
        <v>15</v>
      </c>
      <c r="L12" s="3">
        <f t="shared" si="1"/>
        <v>7</v>
      </c>
      <c r="M12" s="3">
        <f t="shared" si="2"/>
        <v>4</v>
      </c>
      <c r="O12">
        <f>INDEX(Basis!$C$2:$BJ$19,MATCH($C12,Basis!$B$2:$B$19,0),MATCH(O$4,Basis!$C$1:$BJ$1,0))</f>
        <v>1</v>
      </c>
      <c r="P12" s="3"/>
      <c r="Q12" s="3">
        <f t="shared" si="4"/>
        <v>0</v>
      </c>
      <c r="R12" s="11">
        <f t="shared" si="5"/>
        <v>0</v>
      </c>
      <c r="T12" s="9" t="s">
        <v>15</v>
      </c>
      <c r="U12" s="3">
        <f t="shared" si="6"/>
        <v>7</v>
      </c>
      <c r="V12" s="3">
        <f t="shared" si="7"/>
        <v>4</v>
      </c>
      <c r="X12">
        <f>INDEX(Basis!$C$2:$BJ$19,MATCH($U12,Basis!$B$2:$B$19,0),MATCH(X$4,Basis!$C$1:$BJ$1,0))</f>
        <v>2</v>
      </c>
      <c r="Y12" s="3"/>
      <c r="Z12" s="3">
        <f t="shared" si="8"/>
        <v>0</v>
      </c>
      <c r="AA12" s="11">
        <f t="shared" si="9"/>
        <v>0</v>
      </c>
      <c r="AC12">
        <f t="shared" si="10"/>
        <v>0</v>
      </c>
      <c r="AD12">
        <f t="shared" si="11"/>
        <v>0</v>
      </c>
      <c r="AE12">
        <f t="shared" si="12"/>
        <v>0</v>
      </c>
      <c r="AF12">
        <f t="shared" si="13"/>
        <v>1</v>
      </c>
      <c r="AH12">
        <f t="shared" si="14"/>
        <v>0</v>
      </c>
      <c r="AI12">
        <f t="shared" si="15"/>
        <v>0</v>
      </c>
      <c r="AJ12">
        <f t="shared" si="16"/>
        <v>0</v>
      </c>
      <c r="AK12">
        <f t="shared" si="17"/>
        <v>1</v>
      </c>
      <c r="AM12">
        <f t="shared" si="18"/>
        <v>0</v>
      </c>
      <c r="AN12">
        <f t="shared" si="19"/>
        <v>0</v>
      </c>
      <c r="AO12">
        <f t="shared" si="20"/>
        <v>0</v>
      </c>
      <c r="AP12">
        <f t="shared" si="21"/>
        <v>1</v>
      </c>
    </row>
    <row r="13" spans="1:42" x14ac:dyDescent="0.25">
      <c r="B13" s="9" t="s">
        <v>16</v>
      </c>
      <c r="C13" s="43">
        <v>1</v>
      </c>
      <c r="D13" s="43">
        <v>5</v>
      </c>
      <c r="F13">
        <f>INDEX(Basis!$C$2:$BJ$19,MATCH($C13,Basis!$B$2:$B$19,0),MATCH(F$4,Basis!$C$1:$BJ$1,0))</f>
        <v>2</v>
      </c>
      <c r="G13" s="3"/>
      <c r="H13" s="3">
        <f t="shared" si="3"/>
        <v>0</v>
      </c>
      <c r="I13" s="11">
        <f t="shared" si="0"/>
        <v>0</v>
      </c>
      <c r="K13" s="9" t="s">
        <v>16</v>
      </c>
      <c r="L13" s="3">
        <f t="shared" si="1"/>
        <v>1</v>
      </c>
      <c r="M13" s="3">
        <f t="shared" si="2"/>
        <v>5</v>
      </c>
      <c r="O13">
        <f>INDEX(Basis!$C$2:$BJ$19,MATCH($C13,Basis!$B$2:$B$19,0),MATCH(O$4,Basis!$C$1:$BJ$1,0))</f>
        <v>2</v>
      </c>
      <c r="P13" s="3"/>
      <c r="Q13" s="3">
        <f t="shared" si="4"/>
        <v>0</v>
      </c>
      <c r="R13" s="11">
        <f t="shared" si="5"/>
        <v>0</v>
      </c>
      <c r="T13" s="9" t="s">
        <v>16</v>
      </c>
      <c r="U13" s="3">
        <f t="shared" si="6"/>
        <v>1</v>
      </c>
      <c r="V13" s="3">
        <f t="shared" si="7"/>
        <v>5</v>
      </c>
      <c r="X13">
        <f>INDEX(Basis!$C$2:$BJ$19,MATCH($U13,Basis!$B$2:$B$19,0),MATCH(X$4,Basis!$C$1:$BJ$1,0))</f>
        <v>2</v>
      </c>
      <c r="Y13" s="3"/>
      <c r="Z13" s="3">
        <f t="shared" si="8"/>
        <v>0</v>
      </c>
      <c r="AA13" s="11">
        <f t="shared" si="9"/>
        <v>0</v>
      </c>
      <c r="AC13">
        <f t="shared" si="10"/>
        <v>0</v>
      </c>
      <c r="AD13">
        <f t="shared" si="11"/>
        <v>0</v>
      </c>
      <c r="AE13">
        <f t="shared" si="12"/>
        <v>0</v>
      </c>
      <c r="AF13">
        <f t="shared" si="13"/>
        <v>1</v>
      </c>
      <c r="AH13">
        <f t="shared" si="14"/>
        <v>0</v>
      </c>
      <c r="AI13">
        <f t="shared" si="15"/>
        <v>0</v>
      </c>
      <c r="AJ13">
        <f t="shared" si="16"/>
        <v>0</v>
      </c>
      <c r="AK13">
        <f t="shared" si="17"/>
        <v>1</v>
      </c>
      <c r="AM13">
        <f t="shared" si="18"/>
        <v>0</v>
      </c>
      <c r="AN13">
        <f t="shared" si="19"/>
        <v>0</v>
      </c>
      <c r="AO13">
        <f t="shared" si="20"/>
        <v>0</v>
      </c>
      <c r="AP13">
        <f t="shared" si="21"/>
        <v>1</v>
      </c>
    </row>
    <row r="14" spans="1:42" x14ac:dyDescent="0.25">
      <c r="B14" s="9" t="s">
        <v>17</v>
      </c>
      <c r="C14" s="43">
        <v>17</v>
      </c>
      <c r="D14" s="43">
        <v>3</v>
      </c>
      <c r="F14">
        <f>INDEX(Basis!$C$2:$BJ$19,MATCH($C14,Basis!$B$2:$B$19,0),MATCH(F$4,Basis!$C$1:$BJ$1,0))</f>
        <v>1</v>
      </c>
      <c r="G14" s="3"/>
      <c r="H14" s="3">
        <f t="shared" si="3"/>
        <v>0</v>
      </c>
      <c r="I14" s="11">
        <f t="shared" si="0"/>
        <v>0</v>
      </c>
      <c r="K14" s="9" t="s">
        <v>17</v>
      </c>
      <c r="L14" s="3">
        <f t="shared" si="1"/>
        <v>17</v>
      </c>
      <c r="M14" s="3">
        <f t="shared" si="2"/>
        <v>3</v>
      </c>
      <c r="O14">
        <f>INDEX(Basis!$C$2:$BJ$19,MATCH($C14,Basis!$B$2:$B$19,0),MATCH(O$4,Basis!$C$1:$BJ$1,0))</f>
        <v>1</v>
      </c>
      <c r="P14" s="3"/>
      <c r="Q14" s="3">
        <f t="shared" si="4"/>
        <v>0</v>
      </c>
      <c r="R14" s="11">
        <f t="shared" si="5"/>
        <v>0</v>
      </c>
      <c r="T14" s="9" t="s">
        <v>17</v>
      </c>
      <c r="U14" s="3">
        <f t="shared" si="6"/>
        <v>17</v>
      </c>
      <c r="V14" s="3">
        <f t="shared" si="7"/>
        <v>3</v>
      </c>
      <c r="X14">
        <f>INDEX(Basis!$C$2:$BJ$19,MATCH($U14,Basis!$B$2:$B$19,0),MATCH(X$4,Basis!$C$1:$BJ$1,0))</f>
        <v>1</v>
      </c>
      <c r="Y14" s="3"/>
      <c r="Z14" s="3">
        <f t="shared" si="8"/>
        <v>0</v>
      </c>
      <c r="AA14" s="11">
        <f t="shared" si="9"/>
        <v>0</v>
      </c>
      <c r="AC14">
        <f t="shared" si="10"/>
        <v>0</v>
      </c>
      <c r="AD14">
        <f t="shared" si="11"/>
        <v>0</v>
      </c>
      <c r="AE14">
        <f t="shared" si="12"/>
        <v>0</v>
      </c>
      <c r="AF14">
        <f t="shared" si="13"/>
        <v>1</v>
      </c>
      <c r="AH14">
        <f t="shared" si="14"/>
        <v>0</v>
      </c>
      <c r="AI14">
        <f t="shared" si="15"/>
        <v>0</v>
      </c>
      <c r="AJ14">
        <f t="shared" si="16"/>
        <v>0</v>
      </c>
      <c r="AK14">
        <f t="shared" si="17"/>
        <v>1</v>
      </c>
      <c r="AM14">
        <f t="shared" si="18"/>
        <v>0</v>
      </c>
      <c r="AN14">
        <f t="shared" si="19"/>
        <v>0</v>
      </c>
      <c r="AO14">
        <f t="shared" si="20"/>
        <v>0</v>
      </c>
      <c r="AP14">
        <f t="shared" si="21"/>
        <v>1</v>
      </c>
    </row>
    <row r="15" spans="1:42" x14ac:dyDescent="0.25">
      <c r="B15" s="9" t="s">
        <v>18</v>
      </c>
      <c r="C15" s="43">
        <v>5</v>
      </c>
      <c r="D15" s="43">
        <v>4</v>
      </c>
      <c r="F15">
        <f>INDEX(Basis!$C$2:$BJ$19,MATCH($C15,Basis!$B$2:$B$19,0),MATCH(F$4,Basis!$C$1:$BJ$1,0))</f>
        <v>1</v>
      </c>
      <c r="G15" s="3"/>
      <c r="H15" s="3">
        <f t="shared" si="3"/>
        <v>0</v>
      </c>
      <c r="I15" s="11">
        <f t="shared" si="0"/>
        <v>0</v>
      </c>
      <c r="K15" s="9" t="s">
        <v>18</v>
      </c>
      <c r="L15" s="3">
        <f t="shared" si="1"/>
        <v>5</v>
      </c>
      <c r="M15" s="3">
        <f t="shared" si="2"/>
        <v>4</v>
      </c>
      <c r="O15">
        <f>INDEX(Basis!$C$2:$BJ$19,MATCH($C15,Basis!$B$2:$B$19,0),MATCH(O$4,Basis!$C$1:$BJ$1,0))</f>
        <v>2</v>
      </c>
      <c r="P15" s="3"/>
      <c r="Q15" s="3">
        <f t="shared" si="4"/>
        <v>0</v>
      </c>
      <c r="R15" s="11">
        <f t="shared" si="5"/>
        <v>0</v>
      </c>
      <c r="T15" s="9" t="s">
        <v>18</v>
      </c>
      <c r="U15" s="3">
        <f t="shared" si="6"/>
        <v>5</v>
      </c>
      <c r="V15" s="3">
        <f t="shared" si="7"/>
        <v>4</v>
      </c>
      <c r="X15">
        <f>INDEX(Basis!$C$2:$BJ$19,MATCH($U15,Basis!$B$2:$B$19,0),MATCH(X$4,Basis!$C$1:$BJ$1,0))</f>
        <v>2</v>
      </c>
      <c r="Y15" s="3"/>
      <c r="Z15" s="3">
        <f t="shared" si="8"/>
        <v>0</v>
      </c>
      <c r="AA15" s="11">
        <f t="shared" si="9"/>
        <v>0</v>
      </c>
      <c r="AC15">
        <f t="shared" si="10"/>
        <v>0</v>
      </c>
      <c r="AD15">
        <f t="shared" si="11"/>
        <v>0</v>
      </c>
      <c r="AE15">
        <f t="shared" si="12"/>
        <v>0</v>
      </c>
      <c r="AF15">
        <f t="shared" si="13"/>
        <v>1</v>
      </c>
      <c r="AH15">
        <f t="shared" si="14"/>
        <v>0</v>
      </c>
      <c r="AI15">
        <f t="shared" si="15"/>
        <v>0</v>
      </c>
      <c r="AJ15">
        <f t="shared" si="16"/>
        <v>0</v>
      </c>
      <c r="AK15">
        <f t="shared" si="17"/>
        <v>1</v>
      </c>
      <c r="AM15">
        <f t="shared" si="18"/>
        <v>0</v>
      </c>
      <c r="AN15">
        <f t="shared" si="19"/>
        <v>0</v>
      </c>
      <c r="AO15">
        <f t="shared" si="20"/>
        <v>0</v>
      </c>
      <c r="AP15">
        <f t="shared" si="21"/>
        <v>1</v>
      </c>
    </row>
    <row r="16" spans="1:42" x14ac:dyDescent="0.25">
      <c r="B16" s="9" t="s">
        <v>19</v>
      </c>
      <c r="C16" s="43">
        <v>13</v>
      </c>
      <c r="D16" s="43">
        <v>4</v>
      </c>
      <c r="F16">
        <f>INDEX(Basis!$C$2:$BJ$19,MATCH($C16,Basis!$B$2:$B$19,0),MATCH(F$4,Basis!$C$1:$BJ$1,0))</f>
        <v>1</v>
      </c>
      <c r="G16" s="3"/>
      <c r="H16" s="3">
        <f t="shared" si="3"/>
        <v>0</v>
      </c>
      <c r="I16" s="11">
        <f t="shared" si="0"/>
        <v>0</v>
      </c>
      <c r="K16" s="9" t="s">
        <v>19</v>
      </c>
      <c r="L16" s="3">
        <f t="shared" si="1"/>
        <v>13</v>
      </c>
      <c r="M16" s="3">
        <f t="shared" si="2"/>
        <v>4</v>
      </c>
      <c r="O16">
        <f>INDEX(Basis!$C$2:$BJ$19,MATCH($C16,Basis!$B$2:$B$19,0),MATCH(O$4,Basis!$C$1:$BJ$1,0))</f>
        <v>1</v>
      </c>
      <c r="P16" s="3"/>
      <c r="Q16" s="3">
        <f t="shared" si="4"/>
        <v>0</v>
      </c>
      <c r="R16" s="11">
        <f t="shared" si="5"/>
        <v>0</v>
      </c>
      <c r="T16" s="9" t="s">
        <v>19</v>
      </c>
      <c r="U16" s="3">
        <f t="shared" si="6"/>
        <v>13</v>
      </c>
      <c r="V16" s="3">
        <f t="shared" si="7"/>
        <v>4</v>
      </c>
      <c r="X16">
        <f>INDEX(Basis!$C$2:$BJ$19,MATCH($U16,Basis!$B$2:$B$19,0),MATCH(X$4,Basis!$C$1:$BJ$1,0))</f>
        <v>1</v>
      </c>
      <c r="Y16" s="3"/>
      <c r="Z16" s="3">
        <f t="shared" si="8"/>
        <v>0</v>
      </c>
      <c r="AA16" s="11">
        <f t="shared" si="9"/>
        <v>0</v>
      </c>
      <c r="AC16">
        <f t="shared" si="10"/>
        <v>0</v>
      </c>
      <c r="AD16">
        <f t="shared" si="11"/>
        <v>0</v>
      </c>
      <c r="AE16">
        <f t="shared" si="12"/>
        <v>0</v>
      </c>
      <c r="AF16">
        <f t="shared" si="13"/>
        <v>1</v>
      </c>
      <c r="AH16">
        <f t="shared" si="14"/>
        <v>0</v>
      </c>
      <c r="AI16">
        <f t="shared" si="15"/>
        <v>0</v>
      </c>
      <c r="AJ16">
        <f t="shared" si="16"/>
        <v>0</v>
      </c>
      <c r="AK16">
        <f t="shared" si="17"/>
        <v>1</v>
      </c>
      <c r="AM16">
        <f t="shared" si="18"/>
        <v>0</v>
      </c>
      <c r="AN16">
        <f t="shared" si="19"/>
        <v>0</v>
      </c>
      <c r="AO16">
        <f t="shared" si="20"/>
        <v>0</v>
      </c>
      <c r="AP16">
        <f t="shared" si="21"/>
        <v>1</v>
      </c>
    </row>
    <row r="17" spans="2:42" x14ac:dyDescent="0.25">
      <c r="B17" s="9" t="s">
        <v>20</v>
      </c>
      <c r="C17" s="43">
        <v>15</v>
      </c>
      <c r="D17" s="43">
        <v>3</v>
      </c>
      <c r="F17">
        <f>INDEX(Basis!$C$2:$BJ$19,MATCH($C17,Basis!$B$2:$B$19,0),MATCH(F$4,Basis!$C$1:$BJ$1,0))</f>
        <v>1</v>
      </c>
      <c r="G17" s="3"/>
      <c r="H17" s="3">
        <f t="shared" si="3"/>
        <v>0</v>
      </c>
      <c r="I17" s="11">
        <f t="shared" si="0"/>
        <v>0</v>
      </c>
      <c r="K17" s="9" t="s">
        <v>20</v>
      </c>
      <c r="L17" s="3">
        <f t="shared" si="1"/>
        <v>15</v>
      </c>
      <c r="M17" s="3">
        <f t="shared" si="2"/>
        <v>3</v>
      </c>
      <c r="O17">
        <f>INDEX(Basis!$C$2:$BJ$19,MATCH($C17,Basis!$B$2:$B$19,0),MATCH(O$4,Basis!$C$1:$BJ$1,0))</f>
        <v>1</v>
      </c>
      <c r="P17" s="3"/>
      <c r="Q17" s="3">
        <f t="shared" si="4"/>
        <v>0</v>
      </c>
      <c r="R17" s="11">
        <f t="shared" si="5"/>
        <v>0</v>
      </c>
      <c r="T17" s="9" t="s">
        <v>20</v>
      </c>
      <c r="U17" s="3">
        <f t="shared" si="6"/>
        <v>15</v>
      </c>
      <c r="V17" s="3">
        <f t="shared" si="7"/>
        <v>3</v>
      </c>
      <c r="X17">
        <f>INDEX(Basis!$C$2:$BJ$19,MATCH($U17,Basis!$B$2:$B$19,0),MATCH(X$4,Basis!$C$1:$BJ$1,0))</f>
        <v>1</v>
      </c>
      <c r="Y17" s="3"/>
      <c r="Z17" s="3">
        <f t="shared" si="8"/>
        <v>0</v>
      </c>
      <c r="AA17" s="11">
        <f t="shared" si="9"/>
        <v>0</v>
      </c>
      <c r="AC17">
        <f t="shared" si="10"/>
        <v>0</v>
      </c>
      <c r="AD17">
        <f t="shared" si="11"/>
        <v>0</v>
      </c>
      <c r="AE17">
        <f t="shared" si="12"/>
        <v>0</v>
      </c>
      <c r="AF17">
        <f t="shared" si="13"/>
        <v>1</v>
      </c>
      <c r="AH17">
        <f t="shared" si="14"/>
        <v>0</v>
      </c>
      <c r="AI17">
        <f t="shared" si="15"/>
        <v>0</v>
      </c>
      <c r="AJ17">
        <f t="shared" si="16"/>
        <v>0</v>
      </c>
      <c r="AK17">
        <f t="shared" si="17"/>
        <v>1</v>
      </c>
      <c r="AM17">
        <f t="shared" si="18"/>
        <v>0</v>
      </c>
      <c r="AN17">
        <f t="shared" si="19"/>
        <v>0</v>
      </c>
      <c r="AO17">
        <f t="shared" si="20"/>
        <v>0</v>
      </c>
      <c r="AP17">
        <f t="shared" si="21"/>
        <v>1</v>
      </c>
    </row>
    <row r="18" spans="2:42" x14ac:dyDescent="0.25">
      <c r="B18" s="9" t="s">
        <v>21</v>
      </c>
      <c r="C18" s="43">
        <v>11</v>
      </c>
      <c r="D18" s="43">
        <v>4</v>
      </c>
      <c r="F18">
        <f>INDEX(Basis!$C$2:$BJ$19,MATCH($C18,Basis!$B$2:$B$19,0),MATCH(F$4,Basis!$C$1:$BJ$1,0))</f>
        <v>1</v>
      </c>
      <c r="G18" s="3"/>
      <c r="H18" s="3">
        <f t="shared" si="3"/>
        <v>0</v>
      </c>
      <c r="I18" s="11">
        <f t="shared" si="0"/>
        <v>0</v>
      </c>
      <c r="K18" s="9" t="s">
        <v>21</v>
      </c>
      <c r="L18" s="3">
        <f t="shared" si="1"/>
        <v>11</v>
      </c>
      <c r="M18" s="3">
        <f t="shared" si="2"/>
        <v>4</v>
      </c>
      <c r="O18">
        <f>INDEX(Basis!$C$2:$BJ$19,MATCH($C18,Basis!$B$2:$B$19,0),MATCH(O$4,Basis!$C$1:$BJ$1,0))</f>
        <v>1</v>
      </c>
      <c r="P18" s="3"/>
      <c r="Q18" s="3">
        <f t="shared" si="4"/>
        <v>0</v>
      </c>
      <c r="R18" s="11">
        <f t="shared" si="5"/>
        <v>0</v>
      </c>
      <c r="T18" s="9" t="s">
        <v>21</v>
      </c>
      <c r="U18" s="3">
        <f t="shared" si="6"/>
        <v>11</v>
      </c>
      <c r="V18" s="3">
        <f t="shared" si="7"/>
        <v>4</v>
      </c>
      <c r="X18">
        <f>INDEX(Basis!$C$2:$BJ$19,MATCH($U18,Basis!$B$2:$B$19,0),MATCH(X$4,Basis!$C$1:$BJ$1,0))</f>
        <v>1</v>
      </c>
      <c r="Y18" s="3"/>
      <c r="Z18" s="3">
        <f t="shared" si="8"/>
        <v>0</v>
      </c>
      <c r="AA18" s="11">
        <f t="shared" si="9"/>
        <v>0</v>
      </c>
      <c r="AC18">
        <f t="shared" si="10"/>
        <v>0</v>
      </c>
      <c r="AD18">
        <f t="shared" si="11"/>
        <v>0</v>
      </c>
      <c r="AE18">
        <f t="shared" si="12"/>
        <v>0</v>
      </c>
      <c r="AF18">
        <f t="shared" si="13"/>
        <v>1</v>
      </c>
      <c r="AH18">
        <f t="shared" si="14"/>
        <v>0</v>
      </c>
      <c r="AI18">
        <f t="shared" si="15"/>
        <v>0</v>
      </c>
      <c r="AJ18">
        <f t="shared" si="16"/>
        <v>0</v>
      </c>
      <c r="AK18">
        <f t="shared" si="17"/>
        <v>1</v>
      </c>
      <c r="AM18">
        <f t="shared" si="18"/>
        <v>0</v>
      </c>
      <c r="AN18">
        <f t="shared" si="19"/>
        <v>0</v>
      </c>
      <c r="AO18">
        <f t="shared" si="20"/>
        <v>0</v>
      </c>
      <c r="AP18">
        <f t="shared" si="21"/>
        <v>1</v>
      </c>
    </row>
    <row r="19" spans="2:42" x14ac:dyDescent="0.25">
      <c r="B19" s="9" t="s">
        <v>22</v>
      </c>
      <c r="C19" s="43">
        <v>14</v>
      </c>
      <c r="D19" s="43">
        <v>3</v>
      </c>
      <c r="F19">
        <f>INDEX(Basis!$C$2:$BJ$19,MATCH($C19,Basis!$B$2:$B$19,0),MATCH(F$4,Basis!$C$1:$BJ$1,0))</f>
        <v>1</v>
      </c>
      <c r="G19" s="3"/>
      <c r="H19" s="3">
        <f t="shared" si="3"/>
        <v>0</v>
      </c>
      <c r="I19" s="11">
        <f t="shared" si="0"/>
        <v>0</v>
      </c>
      <c r="K19" s="9" t="s">
        <v>22</v>
      </c>
      <c r="L19" s="3">
        <f t="shared" si="1"/>
        <v>14</v>
      </c>
      <c r="M19" s="3">
        <f t="shared" si="2"/>
        <v>3</v>
      </c>
      <c r="O19">
        <f>INDEX(Basis!$C$2:$BJ$19,MATCH($C19,Basis!$B$2:$B$19,0),MATCH(O$4,Basis!$C$1:$BJ$1,0))</f>
        <v>1</v>
      </c>
      <c r="P19" s="3"/>
      <c r="Q19" s="3">
        <f t="shared" si="4"/>
        <v>0</v>
      </c>
      <c r="R19" s="11">
        <f t="shared" si="5"/>
        <v>0</v>
      </c>
      <c r="T19" s="9" t="s">
        <v>22</v>
      </c>
      <c r="U19" s="3">
        <f t="shared" si="6"/>
        <v>14</v>
      </c>
      <c r="V19" s="3">
        <f t="shared" si="7"/>
        <v>3</v>
      </c>
      <c r="X19">
        <f>INDEX(Basis!$C$2:$BJ$19,MATCH($U19,Basis!$B$2:$B$19,0),MATCH(X$4,Basis!$C$1:$BJ$1,0))</f>
        <v>1</v>
      </c>
      <c r="Y19" s="3"/>
      <c r="Z19" s="3">
        <f t="shared" si="8"/>
        <v>0</v>
      </c>
      <c r="AA19" s="11">
        <f t="shared" si="9"/>
        <v>0</v>
      </c>
      <c r="AC19">
        <f t="shared" si="10"/>
        <v>0</v>
      </c>
      <c r="AD19">
        <f t="shared" si="11"/>
        <v>0</v>
      </c>
      <c r="AE19">
        <f t="shared" si="12"/>
        <v>0</v>
      </c>
      <c r="AF19">
        <f t="shared" si="13"/>
        <v>1</v>
      </c>
      <c r="AH19">
        <f t="shared" si="14"/>
        <v>0</v>
      </c>
      <c r="AI19">
        <f t="shared" si="15"/>
        <v>0</v>
      </c>
      <c r="AJ19">
        <f t="shared" si="16"/>
        <v>0</v>
      </c>
      <c r="AK19">
        <f t="shared" si="17"/>
        <v>1</v>
      </c>
      <c r="AM19">
        <f t="shared" si="18"/>
        <v>0</v>
      </c>
      <c r="AN19">
        <f t="shared" si="19"/>
        <v>0</v>
      </c>
      <c r="AO19">
        <f t="shared" si="20"/>
        <v>0</v>
      </c>
      <c r="AP19">
        <f t="shared" si="21"/>
        <v>1</v>
      </c>
    </row>
    <row r="20" spans="2:42" x14ac:dyDescent="0.25">
      <c r="B20" s="9" t="s">
        <v>23</v>
      </c>
      <c r="C20" s="43">
        <v>6</v>
      </c>
      <c r="D20" s="43">
        <v>4</v>
      </c>
      <c r="F20">
        <f>INDEX(Basis!$C$2:$BJ$19,MATCH($C20,Basis!$B$2:$B$19,0),MATCH(F$4,Basis!$C$1:$BJ$1,0))</f>
        <v>1</v>
      </c>
      <c r="G20" s="3"/>
      <c r="H20" s="3">
        <f t="shared" si="3"/>
        <v>0</v>
      </c>
      <c r="I20" s="11">
        <f t="shared" si="0"/>
        <v>0</v>
      </c>
      <c r="K20" s="9" t="s">
        <v>23</v>
      </c>
      <c r="L20" s="3">
        <f t="shared" si="1"/>
        <v>6</v>
      </c>
      <c r="M20" s="3">
        <f t="shared" si="2"/>
        <v>4</v>
      </c>
      <c r="O20">
        <f>INDEX(Basis!$C$2:$BJ$19,MATCH($C20,Basis!$B$2:$B$19,0),MATCH(O$4,Basis!$C$1:$BJ$1,0))</f>
        <v>2</v>
      </c>
      <c r="P20" s="3"/>
      <c r="Q20" s="3">
        <f t="shared" si="4"/>
        <v>0</v>
      </c>
      <c r="R20" s="11">
        <f t="shared" si="5"/>
        <v>0</v>
      </c>
      <c r="T20" s="9" t="s">
        <v>23</v>
      </c>
      <c r="U20" s="3">
        <f t="shared" si="6"/>
        <v>6</v>
      </c>
      <c r="V20" s="3">
        <f t="shared" si="7"/>
        <v>4</v>
      </c>
      <c r="X20">
        <f>INDEX(Basis!$C$2:$BJ$19,MATCH($U20,Basis!$B$2:$B$19,0),MATCH(X$4,Basis!$C$1:$BJ$1,0))</f>
        <v>2</v>
      </c>
      <c r="Y20" s="3"/>
      <c r="Z20" s="3">
        <f t="shared" si="8"/>
        <v>0</v>
      </c>
      <c r="AA20" s="11">
        <f t="shared" si="9"/>
        <v>0</v>
      </c>
      <c r="AC20">
        <f t="shared" si="10"/>
        <v>0</v>
      </c>
      <c r="AD20">
        <f t="shared" si="11"/>
        <v>0</v>
      </c>
      <c r="AE20">
        <f t="shared" si="12"/>
        <v>0</v>
      </c>
      <c r="AF20">
        <f t="shared" si="13"/>
        <v>1</v>
      </c>
      <c r="AH20">
        <f t="shared" si="14"/>
        <v>0</v>
      </c>
      <c r="AI20">
        <f t="shared" si="15"/>
        <v>0</v>
      </c>
      <c r="AJ20">
        <f t="shared" si="16"/>
        <v>0</v>
      </c>
      <c r="AK20">
        <f t="shared" si="17"/>
        <v>1</v>
      </c>
      <c r="AM20">
        <f t="shared" si="18"/>
        <v>0</v>
      </c>
      <c r="AN20">
        <f t="shared" si="19"/>
        <v>0</v>
      </c>
      <c r="AO20">
        <f t="shared" si="20"/>
        <v>0</v>
      </c>
      <c r="AP20">
        <f t="shared" si="21"/>
        <v>1</v>
      </c>
    </row>
    <row r="21" spans="2:42" x14ac:dyDescent="0.25">
      <c r="B21" s="9" t="s">
        <v>24</v>
      </c>
      <c r="C21" s="43">
        <v>18</v>
      </c>
      <c r="D21" s="43">
        <v>3</v>
      </c>
      <c r="F21">
        <f>INDEX(Basis!$C$2:$BJ$19,MATCH($C21,Basis!$B$2:$B$19,0),MATCH(F$4,Basis!$C$1:$BJ$1,0))</f>
        <v>1</v>
      </c>
      <c r="G21" s="3"/>
      <c r="H21" s="3">
        <f t="shared" si="3"/>
        <v>0</v>
      </c>
      <c r="I21" s="11">
        <f t="shared" si="0"/>
        <v>0</v>
      </c>
      <c r="K21" s="9" t="s">
        <v>24</v>
      </c>
      <c r="L21" s="3">
        <f t="shared" si="1"/>
        <v>18</v>
      </c>
      <c r="M21" s="3">
        <f t="shared" si="2"/>
        <v>3</v>
      </c>
      <c r="O21">
        <f>INDEX(Basis!$C$2:$BJ$19,MATCH($C21,Basis!$B$2:$B$19,0),MATCH(O$4,Basis!$C$1:$BJ$1,0))</f>
        <v>1</v>
      </c>
      <c r="P21" s="3"/>
      <c r="Q21" s="3">
        <f t="shared" si="4"/>
        <v>0</v>
      </c>
      <c r="R21" s="11">
        <f t="shared" si="5"/>
        <v>0</v>
      </c>
      <c r="T21" s="9" t="s">
        <v>24</v>
      </c>
      <c r="U21" s="3">
        <f t="shared" si="6"/>
        <v>18</v>
      </c>
      <c r="V21" s="3">
        <f t="shared" si="7"/>
        <v>3</v>
      </c>
      <c r="X21">
        <f>INDEX(Basis!$C$2:$BJ$19,MATCH($U21,Basis!$B$2:$B$19,0),MATCH(X$4,Basis!$C$1:$BJ$1,0))</f>
        <v>1</v>
      </c>
      <c r="Y21" s="3"/>
      <c r="Z21" s="3">
        <f t="shared" si="8"/>
        <v>0</v>
      </c>
      <c r="AA21" s="11">
        <f t="shared" si="9"/>
        <v>0</v>
      </c>
      <c r="AC21">
        <f t="shared" si="10"/>
        <v>0</v>
      </c>
      <c r="AD21">
        <f t="shared" si="11"/>
        <v>0</v>
      </c>
      <c r="AE21">
        <f t="shared" si="12"/>
        <v>0</v>
      </c>
      <c r="AF21">
        <f t="shared" si="13"/>
        <v>1</v>
      </c>
      <c r="AH21">
        <f t="shared" si="14"/>
        <v>0</v>
      </c>
      <c r="AI21">
        <f t="shared" si="15"/>
        <v>0</v>
      </c>
      <c r="AJ21">
        <f t="shared" si="16"/>
        <v>0</v>
      </c>
      <c r="AK21">
        <f t="shared" si="17"/>
        <v>1</v>
      </c>
      <c r="AM21">
        <f t="shared" si="18"/>
        <v>0</v>
      </c>
      <c r="AN21">
        <f t="shared" si="19"/>
        <v>0</v>
      </c>
      <c r="AO21">
        <f t="shared" si="20"/>
        <v>0</v>
      </c>
      <c r="AP21">
        <f t="shared" si="21"/>
        <v>1</v>
      </c>
    </row>
    <row r="22" spans="2:42" x14ac:dyDescent="0.25">
      <c r="B22" s="9" t="s">
        <v>25</v>
      </c>
      <c r="C22" s="43">
        <v>2</v>
      </c>
      <c r="D22" s="43">
        <v>4</v>
      </c>
      <c r="F22">
        <f>INDEX(Basis!$C$2:$BJ$19,MATCH($C22,Basis!$B$2:$B$19,0),MATCH(F$4,Basis!$C$1:$BJ$1,0))</f>
        <v>1</v>
      </c>
      <c r="G22" s="3"/>
      <c r="H22" s="3">
        <f t="shared" si="3"/>
        <v>0</v>
      </c>
      <c r="I22" s="11">
        <f t="shared" si="0"/>
        <v>0</v>
      </c>
      <c r="K22" s="9" t="s">
        <v>25</v>
      </c>
      <c r="L22" s="3">
        <f t="shared" si="1"/>
        <v>2</v>
      </c>
      <c r="M22" s="3">
        <f t="shared" si="2"/>
        <v>4</v>
      </c>
      <c r="O22">
        <f>INDEX(Basis!$C$2:$BJ$19,MATCH($C22,Basis!$B$2:$B$19,0),MATCH(O$4,Basis!$C$1:$BJ$1,0))</f>
        <v>2</v>
      </c>
      <c r="P22" s="3"/>
      <c r="Q22" s="3">
        <f t="shared" si="4"/>
        <v>0</v>
      </c>
      <c r="R22" s="11">
        <f t="shared" si="5"/>
        <v>0</v>
      </c>
      <c r="T22" s="9" t="s">
        <v>25</v>
      </c>
      <c r="U22" s="3">
        <f t="shared" si="6"/>
        <v>2</v>
      </c>
      <c r="V22" s="3">
        <f t="shared" si="7"/>
        <v>4</v>
      </c>
      <c r="X22">
        <f>INDEX(Basis!$C$2:$BJ$19,MATCH($U22,Basis!$B$2:$B$19,0),MATCH(X$4,Basis!$C$1:$BJ$1,0))</f>
        <v>2</v>
      </c>
      <c r="Y22" s="3"/>
      <c r="Z22" s="3">
        <f t="shared" si="8"/>
        <v>0</v>
      </c>
      <c r="AA22" s="11">
        <f t="shared" si="9"/>
        <v>0</v>
      </c>
      <c r="AC22">
        <f t="shared" si="10"/>
        <v>0</v>
      </c>
      <c r="AD22">
        <f t="shared" si="11"/>
        <v>0</v>
      </c>
      <c r="AE22">
        <f t="shared" si="12"/>
        <v>0</v>
      </c>
      <c r="AF22">
        <f t="shared" si="13"/>
        <v>1</v>
      </c>
      <c r="AH22">
        <f t="shared" si="14"/>
        <v>0</v>
      </c>
      <c r="AI22">
        <f t="shared" si="15"/>
        <v>0</v>
      </c>
      <c r="AJ22">
        <f t="shared" si="16"/>
        <v>0</v>
      </c>
      <c r="AK22">
        <f t="shared" si="17"/>
        <v>1</v>
      </c>
      <c r="AM22">
        <f t="shared" si="18"/>
        <v>0</v>
      </c>
      <c r="AN22">
        <f t="shared" si="19"/>
        <v>0</v>
      </c>
      <c r="AO22">
        <f t="shared" si="20"/>
        <v>0</v>
      </c>
      <c r="AP22">
        <f t="shared" si="21"/>
        <v>1</v>
      </c>
    </row>
    <row r="23" spans="2:42" x14ac:dyDescent="0.25">
      <c r="B23" s="9" t="s">
        <v>26</v>
      </c>
      <c r="C23" s="43">
        <v>12</v>
      </c>
      <c r="D23" s="43">
        <v>4</v>
      </c>
      <c r="F23">
        <f>INDEX(Basis!$C$2:$BJ$19,MATCH($C23,Basis!$B$2:$B$19,0),MATCH(F$4,Basis!$C$1:$BJ$1,0))</f>
        <v>1</v>
      </c>
      <c r="G23" s="3"/>
      <c r="H23" s="3">
        <f t="shared" si="3"/>
        <v>0</v>
      </c>
      <c r="I23" s="11">
        <f t="shared" si="0"/>
        <v>0</v>
      </c>
      <c r="K23" s="9" t="s">
        <v>26</v>
      </c>
      <c r="L23" s="3">
        <f t="shared" si="1"/>
        <v>12</v>
      </c>
      <c r="M23" s="3">
        <f t="shared" si="2"/>
        <v>4</v>
      </c>
      <c r="O23">
        <f>INDEX(Basis!$C$2:$BJ$19,MATCH($C23,Basis!$B$2:$B$19,0),MATCH(O$4,Basis!$C$1:$BJ$1,0))</f>
        <v>1</v>
      </c>
      <c r="P23" s="3"/>
      <c r="Q23" s="3">
        <f t="shared" si="4"/>
        <v>0</v>
      </c>
      <c r="R23" s="11">
        <f t="shared" si="5"/>
        <v>0</v>
      </c>
      <c r="T23" s="9" t="s">
        <v>26</v>
      </c>
      <c r="U23" s="3">
        <f t="shared" si="6"/>
        <v>12</v>
      </c>
      <c r="V23" s="3">
        <f t="shared" si="7"/>
        <v>4</v>
      </c>
      <c r="X23">
        <f>INDEX(Basis!$C$2:$BJ$19,MATCH($U23,Basis!$B$2:$B$19,0),MATCH(X$4,Basis!$C$1:$BJ$1,0))</f>
        <v>1</v>
      </c>
      <c r="Y23" s="3"/>
      <c r="Z23" s="3">
        <f t="shared" si="8"/>
        <v>0</v>
      </c>
      <c r="AA23" s="11">
        <f t="shared" si="9"/>
        <v>0</v>
      </c>
      <c r="AC23">
        <f t="shared" si="10"/>
        <v>0</v>
      </c>
      <c r="AD23">
        <f t="shared" si="11"/>
        <v>0</v>
      </c>
      <c r="AE23">
        <f t="shared" si="12"/>
        <v>0</v>
      </c>
      <c r="AF23">
        <f t="shared" si="13"/>
        <v>1</v>
      </c>
      <c r="AH23">
        <f t="shared" si="14"/>
        <v>0</v>
      </c>
      <c r="AI23">
        <f t="shared" si="15"/>
        <v>0</v>
      </c>
      <c r="AJ23">
        <f t="shared" si="16"/>
        <v>0</v>
      </c>
      <c r="AK23">
        <f t="shared" si="17"/>
        <v>1</v>
      </c>
      <c r="AM23">
        <f t="shared" si="18"/>
        <v>0</v>
      </c>
      <c r="AN23">
        <f t="shared" si="19"/>
        <v>0</v>
      </c>
      <c r="AO23">
        <f t="shared" si="20"/>
        <v>0</v>
      </c>
      <c r="AP23">
        <f t="shared" si="21"/>
        <v>1</v>
      </c>
    </row>
    <row r="24" spans="2:42" x14ac:dyDescent="0.25">
      <c r="B24" s="9" t="s">
        <v>27</v>
      </c>
      <c r="C24" s="43">
        <v>8</v>
      </c>
      <c r="D24" s="43">
        <v>5</v>
      </c>
      <c r="F24">
        <f>INDEX(Basis!$C$2:$BJ$19,MATCH($C24,Basis!$B$2:$B$19,0),MATCH(F$4,Basis!$C$1:$BJ$1,0))</f>
        <v>1</v>
      </c>
      <c r="G24" s="3"/>
      <c r="H24" s="3">
        <f t="shared" si="3"/>
        <v>0</v>
      </c>
      <c r="I24" s="11">
        <f t="shared" si="0"/>
        <v>0</v>
      </c>
      <c r="K24" s="9" t="s">
        <v>27</v>
      </c>
      <c r="L24" s="3">
        <f t="shared" si="1"/>
        <v>8</v>
      </c>
      <c r="M24" s="3">
        <f t="shared" si="2"/>
        <v>5</v>
      </c>
      <c r="O24">
        <f>INDEX(Basis!$C$2:$BJ$19,MATCH($C24,Basis!$B$2:$B$19,0),MATCH(O$4,Basis!$C$1:$BJ$1,0))</f>
        <v>1</v>
      </c>
      <c r="P24" s="3"/>
      <c r="Q24" s="3">
        <f t="shared" si="4"/>
        <v>0</v>
      </c>
      <c r="R24" s="11">
        <f t="shared" si="5"/>
        <v>0</v>
      </c>
      <c r="T24" s="9" t="s">
        <v>27</v>
      </c>
      <c r="U24" s="3">
        <f t="shared" si="6"/>
        <v>8</v>
      </c>
      <c r="V24" s="3">
        <f t="shared" si="7"/>
        <v>5</v>
      </c>
      <c r="X24">
        <f>INDEX(Basis!$C$2:$BJ$19,MATCH($U24,Basis!$B$2:$B$19,0),MATCH(X$4,Basis!$C$1:$BJ$1,0))</f>
        <v>2</v>
      </c>
      <c r="Y24" s="3"/>
      <c r="Z24" s="3">
        <f t="shared" si="8"/>
        <v>0</v>
      </c>
      <c r="AA24" s="11">
        <f t="shared" si="9"/>
        <v>0</v>
      </c>
      <c r="AC24">
        <f t="shared" si="10"/>
        <v>0</v>
      </c>
      <c r="AD24">
        <f t="shared" si="11"/>
        <v>0</v>
      </c>
      <c r="AE24">
        <f t="shared" si="12"/>
        <v>0</v>
      </c>
      <c r="AF24">
        <f t="shared" si="13"/>
        <v>1</v>
      </c>
      <c r="AH24">
        <f t="shared" si="14"/>
        <v>0</v>
      </c>
      <c r="AI24">
        <f t="shared" si="15"/>
        <v>0</v>
      </c>
      <c r="AJ24">
        <f t="shared" si="16"/>
        <v>0</v>
      </c>
      <c r="AK24">
        <f t="shared" si="17"/>
        <v>1</v>
      </c>
      <c r="AM24">
        <f t="shared" si="18"/>
        <v>0</v>
      </c>
      <c r="AN24">
        <f t="shared" si="19"/>
        <v>0</v>
      </c>
      <c r="AO24">
        <f t="shared" si="20"/>
        <v>0</v>
      </c>
      <c r="AP24">
        <f t="shared" si="21"/>
        <v>1</v>
      </c>
    </row>
    <row r="25" spans="2:42" x14ac:dyDescent="0.25">
      <c r="B25" s="9" t="s">
        <v>28</v>
      </c>
      <c r="C25" s="43">
        <v>16</v>
      </c>
      <c r="D25" s="43">
        <v>4</v>
      </c>
      <c r="F25">
        <f>INDEX(Basis!$C$2:$BJ$19,MATCH($C25,Basis!$B$2:$B$19,0),MATCH(F$4,Basis!$C$1:$BJ$1,0))</f>
        <v>1</v>
      </c>
      <c r="G25" s="3"/>
      <c r="H25" s="3">
        <f t="shared" si="3"/>
        <v>0</v>
      </c>
      <c r="I25" s="11">
        <f t="shared" si="0"/>
        <v>0</v>
      </c>
      <c r="K25" s="9" t="s">
        <v>28</v>
      </c>
      <c r="L25" s="3">
        <f t="shared" si="1"/>
        <v>16</v>
      </c>
      <c r="M25" s="3">
        <f t="shared" si="2"/>
        <v>4</v>
      </c>
      <c r="O25">
        <f>INDEX(Basis!$C$2:$BJ$19,MATCH($C25,Basis!$B$2:$B$19,0),MATCH(O$4,Basis!$C$1:$BJ$1,0))</f>
        <v>1</v>
      </c>
      <c r="P25" s="3"/>
      <c r="Q25" s="3">
        <f t="shared" si="4"/>
        <v>0</v>
      </c>
      <c r="R25" s="11">
        <f t="shared" si="5"/>
        <v>0</v>
      </c>
      <c r="T25" s="9" t="s">
        <v>28</v>
      </c>
      <c r="U25" s="3">
        <f t="shared" si="6"/>
        <v>16</v>
      </c>
      <c r="V25" s="3">
        <f t="shared" si="7"/>
        <v>4</v>
      </c>
      <c r="X25">
        <f>INDEX(Basis!$C$2:$BJ$19,MATCH($U25,Basis!$B$2:$B$19,0),MATCH(X$4,Basis!$C$1:$BJ$1,0))</f>
        <v>1</v>
      </c>
      <c r="Y25" s="3"/>
      <c r="Z25" s="3">
        <f t="shared" si="8"/>
        <v>0</v>
      </c>
      <c r="AA25" s="11">
        <f t="shared" si="9"/>
        <v>0</v>
      </c>
      <c r="AC25">
        <f t="shared" si="10"/>
        <v>0</v>
      </c>
      <c r="AD25">
        <f t="shared" si="11"/>
        <v>0</v>
      </c>
      <c r="AE25">
        <f t="shared" si="12"/>
        <v>0</v>
      </c>
      <c r="AF25">
        <f t="shared" si="13"/>
        <v>1</v>
      </c>
      <c r="AH25">
        <f t="shared" si="14"/>
        <v>0</v>
      </c>
      <c r="AI25">
        <f t="shared" si="15"/>
        <v>0</v>
      </c>
      <c r="AJ25">
        <f t="shared" si="16"/>
        <v>0</v>
      </c>
      <c r="AK25">
        <f t="shared" si="17"/>
        <v>1</v>
      </c>
      <c r="AM25">
        <f t="shared" si="18"/>
        <v>0</v>
      </c>
      <c r="AN25">
        <f t="shared" si="19"/>
        <v>0</v>
      </c>
      <c r="AO25">
        <f t="shared" si="20"/>
        <v>0</v>
      </c>
      <c r="AP25">
        <f t="shared" si="21"/>
        <v>1</v>
      </c>
    </row>
    <row r="26" spans="2:42" x14ac:dyDescent="0.25">
      <c r="B26" s="9" t="s">
        <v>29</v>
      </c>
      <c r="C26" s="43">
        <v>4</v>
      </c>
      <c r="D26" s="43">
        <v>5</v>
      </c>
      <c r="F26">
        <f>INDEX(Basis!$C$2:$BJ$19,MATCH($C26,Basis!$B$2:$B$19,0),MATCH(F$4,Basis!$C$1:$BJ$1,0))</f>
        <v>1</v>
      </c>
      <c r="G26" s="3"/>
      <c r="H26" s="3">
        <f t="shared" si="3"/>
        <v>0</v>
      </c>
      <c r="I26" s="11">
        <f t="shared" si="0"/>
        <v>0</v>
      </c>
      <c r="K26" s="9" t="s">
        <v>29</v>
      </c>
      <c r="L26" s="3">
        <f t="shared" si="1"/>
        <v>4</v>
      </c>
      <c r="M26" s="3">
        <f t="shared" si="2"/>
        <v>5</v>
      </c>
      <c r="O26">
        <f>INDEX(Basis!$C$2:$BJ$19,MATCH($C26,Basis!$B$2:$B$19,0),MATCH(O$4,Basis!$C$1:$BJ$1,0))</f>
        <v>2</v>
      </c>
      <c r="P26" s="3"/>
      <c r="Q26" s="3">
        <f t="shared" si="4"/>
        <v>0</v>
      </c>
      <c r="R26" s="11">
        <f t="shared" si="5"/>
        <v>0</v>
      </c>
      <c r="T26" s="9" t="s">
        <v>29</v>
      </c>
      <c r="U26" s="3">
        <f t="shared" si="6"/>
        <v>4</v>
      </c>
      <c r="V26" s="3">
        <f t="shared" si="7"/>
        <v>5</v>
      </c>
      <c r="X26">
        <f>INDEX(Basis!$C$2:$BJ$19,MATCH($U26,Basis!$B$2:$B$19,0),MATCH(X$4,Basis!$C$1:$BJ$1,0))</f>
        <v>2</v>
      </c>
      <c r="Y26" s="3"/>
      <c r="Z26" s="3">
        <f t="shared" si="8"/>
        <v>0</v>
      </c>
      <c r="AA26" s="11">
        <f t="shared" si="9"/>
        <v>0</v>
      </c>
      <c r="AC26">
        <f t="shared" si="10"/>
        <v>0</v>
      </c>
      <c r="AD26">
        <f t="shared" si="11"/>
        <v>0</v>
      </c>
      <c r="AE26">
        <f t="shared" si="12"/>
        <v>0</v>
      </c>
      <c r="AF26">
        <f t="shared" si="13"/>
        <v>1</v>
      </c>
      <c r="AH26">
        <f t="shared" si="14"/>
        <v>0</v>
      </c>
      <c r="AI26">
        <f t="shared" si="15"/>
        <v>0</v>
      </c>
      <c r="AJ26">
        <f t="shared" si="16"/>
        <v>0</v>
      </c>
      <c r="AK26">
        <f t="shared" si="17"/>
        <v>1</v>
      </c>
      <c r="AM26">
        <f t="shared" si="18"/>
        <v>0</v>
      </c>
      <c r="AN26">
        <f t="shared" si="19"/>
        <v>0</v>
      </c>
      <c r="AO26">
        <f t="shared" si="20"/>
        <v>0</v>
      </c>
      <c r="AP26">
        <f t="shared" si="21"/>
        <v>1</v>
      </c>
    </row>
    <row r="27" spans="2:42" x14ac:dyDescent="0.25">
      <c r="B27" s="9" t="s">
        <v>30</v>
      </c>
      <c r="C27" s="43">
        <v>10</v>
      </c>
      <c r="D27" s="43">
        <v>4</v>
      </c>
      <c r="F27">
        <f>INDEX(Basis!$C$2:$BJ$19,MATCH($C27,Basis!$B$2:$B$19,0),MATCH(F$4,Basis!$C$1:$BJ$1,0))</f>
        <v>1</v>
      </c>
      <c r="G27" s="3"/>
      <c r="H27" s="3">
        <f t="shared" si="3"/>
        <v>0</v>
      </c>
      <c r="I27" s="11">
        <f t="shared" si="0"/>
        <v>0</v>
      </c>
      <c r="K27" s="9" t="s">
        <v>30</v>
      </c>
      <c r="L27" s="3">
        <f t="shared" si="1"/>
        <v>10</v>
      </c>
      <c r="M27" s="3">
        <f t="shared" si="2"/>
        <v>4</v>
      </c>
      <c r="O27">
        <f>INDEX(Basis!$C$2:$BJ$19,MATCH($C27,Basis!$B$2:$B$19,0),MATCH(O$4,Basis!$C$1:$BJ$1,0))</f>
        <v>1</v>
      </c>
      <c r="P27" s="3"/>
      <c r="Q27" s="3">
        <f t="shared" si="4"/>
        <v>0</v>
      </c>
      <c r="R27" s="11">
        <f t="shared" si="5"/>
        <v>0</v>
      </c>
      <c r="T27" s="9" t="s">
        <v>30</v>
      </c>
      <c r="U27" s="3">
        <f t="shared" si="6"/>
        <v>10</v>
      </c>
      <c r="V27" s="3">
        <f t="shared" si="7"/>
        <v>4</v>
      </c>
      <c r="X27">
        <f>INDEX(Basis!$C$2:$BJ$19,MATCH($U27,Basis!$B$2:$B$19,0),MATCH(X$4,Basis!$C$1:$BJ$1,0))</f>
        <v>1</v>
      </c>
      <c r="Y27" s="3"/>
      <c r="Z27" s="3">
        <f t="shared" si="8"/>
        <v>0</v>
      </c>
      <c r="AA27" s="11">
        <f t="shared" si="9"/>
        <v>0</v>
      </c>
      <c r="AC27">
        <f t="shared" si="10"/>
        <v>0</v>
      </c>
      <c r="AD27">
        <f t="shared" si="11"/>
        <v>0</v>
      </c>
      <c r="AE27">
        <f t="shared" si="12"/>
        <v>0</v>
      </c>
      <c r="AF27">
        <f t="shared" si="13"/>
        <v>1</v>
      </c>
      <c r="AH27">
        <f t="shared" si="14"/>
        <v>0</v>
      </c>
      <c r="AI27">
        <f t="shared" si="15"/>
        <v>0</v>
      </c>
      <c r="AJ27">
        <f t="shared" si="16"/>
        <v>0</v>
      </c>
      <c r="AK27">
        <f t="shared" si="17"/>
        <v>1</v>
      </c>
      <c r="AM27">
        <f t="shared" si="18"/>
        <v>0</v>
      </c>
      <c r="AN27">
        <f t="shared" si="19"/>
        <v>0</v>
      </c>
      <c r="AO27">
        <f t="shared" si="20"/>
        <v>0</v>
      </c>
      <c r="AP27">
        <f t="shared" si="21"/>
        <v>1</v>
      </c>
    </row>
    <row r="28" spans="2:42" x14ac:dyDescent="0.25">
      <c r="B28" s="9"/>
      <c r="C28" s="3"/>
      <c r="D28" s="3"/>
      <c r="G28" s="3"/>
      <c r="H28" s="3"/>
      <c r="I28" s="11"/>
      <c r="K28" s="9"/>
      <c r="L28" s="3"/>
      <c r="M28" s="3"/>
      <c r="P28" s="3"/>
      <c r="Q28" s="3"/>
      <c r="R28" s="11"/>
      <c r="T28" s="9"/>
      <c r="U28" s="3"/>
      <c r="V28" s="3"/>
      <c r="Y28" s="3"/>
      <c r="Z28" s="3"/>
      <c r="AA28" s="11"/>
    </row>
    <row r="29" spans="2:42" x14ac:dyDescent="0.25">
      <c r="B29" s="16" t="s">
        <v>31</v>
      </c>
      <c r="C29" s="17"/>
      <c r="D29" s="17"/>
      <c r="E29" s="18"/>
      <c r="F29" s="18"/>
      <c r="G29" s="17">
        <f>SUM(G10:G18)</f>
        <v>0</v>
      </c>
      <c r="H29" s="17">
        <f>SUM(H10:H18)</f>
        <v>0</v>
      </c>
      <c r="I29" s="19">
        <f>SUM(I10:I18)</f>
        <v>0</v>
      </c>
      <c r="K29" s="16" t="s">
        <v>31</v>
      </c>
      <c r="L29" s="17"/>
      <c r="M29" s="17"/>
      <c r="N29" s="18"/>
      <c r="O29" s="18"/>
      <c r="P29" s="17">
        <f>SUM(P10:P18)</f>
        <v>0</v>
      </c>
      <c r="Q29" s="17">
        <f>SUM(Q10:Q18)</f>
        <v>0</v>
      </c>
      <c r="R29" s="19">
        <f>SUM(R10:R18)</f>
        <v>0</v>
      </c>
      <c r="T29" s="16" t="s">
        <v>31</v>
      </c>
      <c r="U29" s="17"/>
      <c r="V29" s="17"/>
      <c r="W29" s="18"/>
      <c r="X29" s="18"/>
      <c r="Y29" s="17">
        <f>SUM(Y10:Y18)</f>
        <v>0</v>
      </c>
      <c r="Z29" s="17">
        <f>SUM(Z10:Z18)</f>
        <v>0</v>
      </c>
      <c r="AA29" s="19">
        <f>SUM(AA10:AA18)</f>
        <v>0</v>
      </c>
      <c r="AC29" s="19">
        <f t="shared" ref="AC29:AF29" si="22">SUM(AC10:AC18)</f>
        <v>0</v>
      </c>
      <c r="AD29" s="19">
        <f t="shared" si="22"/>
        <v>0</v>
      </c>
      <c r="AE29" s="19">
        <f t="shared" si="22"/>
        <v>0</v>
      </c>
      <c r="AF29" s="19">
        <f t="shared" si="22"/>
        <v>9</v>
      </c>
      <c r="AH29" s="19">
        <f t="shared" ref="AH29:AK29" si="23">SUM(AH10:AH18)</f>
        <v>0</v>
      </c>
      <c r="AI29" s="19">
        <f t="shared" si="23"/>
        <v>0</v>
      </c>
      <c r="AJ29" s="19">
        <f t="shared" si="23"/>
        <v>0</v>
      </c>
      <c r="AK29" s="19">
        <f t="shared" si="23"/>
        <v>9</v>
      </c>
      <c r="AM29" s="19">
        <f t="shared" ref="AM29:AP29" si="24">SUM(AM10:AM18)</f>
        <v>0</v>
      </c>
      <c r="AN29" s="19">
        <f t="shared" si="24"/>
        <v>0</v>
      </c>
      <c r="AO29" s="19">
        <f t="shared" si="24"/>
        <v>0</v>
      </c>
      <c r="AP29" s="19">
        <f t="shared" si="24"/>
        <v>9</v>
      </c>
    </row>
    <row r="30" spans="2:42" x14ac:dyDescent="0.25">
      <c r="B30" s="16" t="s">
        <v>32</v>
      </c>
      <c r="C30" s="18"/>
      <c r="D30" s="18"/>
      <c r="E30" s="18"/>
      <c r="F30" s="18"/>
      <c r="G30" s="17">
        <f>SUM(G19:G27)</f>
        <v>0</v>
      </c>
      <c r="H30" s="17">
        <f>SUM(H19:H27)</f>
        <v>0</v>
      </c>
      <c r="I30" s="19">
        <f>SUM(I19:I27)</f>
        <v>0</v>
      </c>
      <c r="K30" s="16" t="s">
        <v>32</v>
      </c>
      <c r="L30" s="18"/>
      <c r="M30" s="18"/>
      <c r="N30" s="18"/>
      <c r="O30" s="18"/>
      <c r="P30" s="17">
        <f>SUM(P19:P27)</f>
        <v>0</v>
      </c>
      <c r="Q30" s="17">
        <f>SUM(Q19:Q27)</f>
        <v>0</v>
      </c>
      <c r="R30" s="19">
        <f>SUM(R19:R27)</f>
        <v>0</v>
      </c>
      <c r="T30" s="16" t="s">
        <v>32</v>
      </c>
      <c r="U30" s="18"/>
      <c r="V30" s="18"/>
      <c r="W30" s="18"/>
      <c r="X30" s="18"/>
      <c r="Y30" s="17">
        <f>SUM(Y19:Y27)</f>
        <v>0</v>
      </c>
      <c r="Z30" s="17">
        <f>SUM(Z19:Z27)</f>
        <v>0</v>
      </c>
      <c r="AA30" s="19">
        <f>SUM(AA19:AA27)</f>
        <v>0</v>
      </c>
      <c r="AC30" s="19">
        <f t="shared" ref="AC30:AF30" si="25">SUM(AC19:AC27)</f>
        <v>0</v>
      </c>
      <c r="AD30" s="19">
        <f t="shared" si="25"/>
        <v>0</v>
      </c>
      <c r="AE30" s="19">
        <f t="shared" si="25"/>
        <v>0</v>
      </c>
      <c r="AF30" s="19">
        <f t="shared" si="25"/>
        <v>9</v>
      </c>
      <c r="AH30" s="19">
        <f t="shared" ref="AH30:AK30" si="26">SUM(AH19:AH27)</f>
        <v>0</v>
      </c>
      <c r="AI30" s="19">
        <f t="shared" si="26"/>
        <v>0</v>
      </c>
      <c r="AJ30" s="19">
        <f t="shared" si="26"/>
        <v>0</v>
      </c>
      <c r="AK30" s="19">
        <f t="shared" si="26"/>
        <v>9</v>
      </c>
      <c r="AM30" s="19">
        <f t="shared" ref="AM30:AP30" si="27">SUM(AM19:AM27)</f>
        <v>0</v>
      </c>
      <c r="AN30" s="19">
        <f t="shared" si="27"/>
        <v>0</v>
      </c>
      <c r="AO30" s="19">
        <f t="shared" si="27"/>
        <v>0</v>
      </c>
      <c r="AP30" s="19">
        <f t="shared" si="27"/>
        <v>9</v>
      </c>
    </row>
    <row r="31" spans="2:42" x14ac:dyDescent="0.25">
      <c r="B31" s="9"/>
      <c r="F31" s="22">
        <f>SUM(F10:F27)</f>
        <v>19</v>
      </c>
      <c r="G31" s="5">
        <f>SUM(G10:G27)</f>
        <v>0</v>
      </c>
      <c r="H31" s="5">
        <f>SUM(H10:H27)</f>
        <v>0</v>
      </c>
      <c r="I31" s="23">
        <f>SUM(I10:I27)</f>
        <v>0</v>
      </c>
      <c r="K31" s="9"/>
      <c r="O31" s="22">
        <f>SUM(O10:O27)</f>
        <v>24</v>
      </c>
      <c r="P31" s="5">
        <f>SUM(P10:P27)</f>
        <v>0</v>
      </c>
      <c r="Q31" s="5">
        <f>SUM(Q10:Q27)</f>
        <v>0</v>
      </c>
      <c r="R31" s="23">
        <f>SUM(R10:R27)</f>
        <v>0</v>
      </c>
      <c r="T31" s="9"/>
      <c r="X31" s="22">
        <f>SUM(X10:X27)</f>
        <v>26</v>
      </c>
      <c r="Y31" s="5">
        <f>SUM(Y10:Y27)</f>
        <v>0</v>
      </c>
      <c r="Z31" s="5">
        <f>SUM(Z10:Z27)</f>
        <v>0</v>
      </c>
      <c r="AA31" s="23">
        <f>SUM(AA10:AA27)</f>
        <v>0</v>
      </c>
      <c r="AC31" s="5">
        <f t="shared" ref="AC31:AF31" si="28">SUM(AC10:AC27)</f>
        <v>0</v>
      </c>
      <c r="AD31" s="5">
        <f t="shared" si="28"/>
        <v>0</v>
      </c>
      <c r="AE31" s="5">
        <f t="shared" si="28"/>
        <v>0</v>
      </c>
      <c r="AF31" s="5">
        <f t="shared" si="28"/>
        <v>18</v>
      </c>
      <c r="AH31" s="5">
        <f t="shared" ref="AH31:AK31" si="29">SUM(AH10:AH27)</f>
        <v>0</v>
      </c>
      <c r="AI31" s="5">
        <f t="shared" si="29"/>
        <v>0</v>
      </c>
      <c r="AJ31" s="5">
        <f t="shared" si="29"/>
        <v>0</v>
      </c>
      <c r="AK31" s="5">
        <f t="shared" si="29"/>
        <v>18</v>
      </c>
      <c r="AM31" s="5">
        <f t="shared" ref="AM31:AP31" si="30">SUM(AM10:AM27)</f>
        <v>0</v>
      </c>
      <c r="AN31" s="5">
        <f t="shared" si="30"/>
        <v>0</v>
      </c>
      <c r="AO31" s="5">
        <f t="shared" si="30"/>
        <v>0</v>
      </c>
      <c r="AP31" s="5">
        <f t="shared" si="30"/>
        <v>18</v>
      </c>
    </row>
    <row r="32" spans="2:42" ht="15.75" thickBot="1" x14ac:dyDescent="0.3">
      <c r="B32" s="12"/>
      <c r="C32" s="13"/>
      <c r="D32" s="13"/>
      <c r="E32" s="13"/>
      <c r="F32" s="13"/>
      <c r="G32" s="13"/>
      <c r="H32" s="13"/>
      <c r="I32" s="14"/>
      <c r="K32" s="12"/>
      <c r="L32" s="13"/>
      <c r="M32" s="13"/>
      <c r="N32" s="13"/>
      <c r="O32" s="13"/>
      <c r="P32" s="13"/>
      <c r="Q32" s="13"/>
      <c r="R32" s="14"/>
      <c r="T32" s="12"/>
      <c r="U32" s="13"/>
      <c r="V32" s="13"/>
      <c r="W32" s="13"/>
      <c r="X32" s="13"/>
      <c r="Y32" s="13"/>
      <c r="Z32" s="13"/>
      <c r="AA32" s="14"/>
      <c r="AF32" s="24">
        <f>SUM(AC31:AF31)</f>
        <v>18</v>
      </c>
      <c r="AK32" s="24">
        <f>SUM(AH31:AK31)</f>
        <v>18</v>
      </c>
      <c r="AP32" s="24">
        <f>SUM(AM31:AP31)</f>
        <v>18</v>
      </c>
    </row>
    <row r="33" spans="1:42" ht="15.75" thickBot="1" x14ac:dyDescent="0.3"/>
    <row r="34" spans="1:42" ht="19.5" thickBot="1" x14ac:dyDescent="0.35">
      <c r="B34" s="44" t="s">
        <v>37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6"/>
    </row>
    <row r="35" spans="1:42" x14ac:dyDescent="0.25">
      <c r="A35" s="20" t="s">
        <v>0</v>
      </c>
      <c r="B35" s="47" t="s">
        <v>1</v>
      </c>
      <c r="C35" s="48"/>
      <c r="D35" s="48"/>
      <c r="E35" s="48"/>
      <c r="F35" s="48"/>
      <c r="G35" s="48"/>
      <c r="H35" s="48"/>
      <c r="I35" s="49"/>
      <c r="K35" s="47" t="s">
        <v>2</v>
      </c>
      <c r="L35" s="48"/>
      <c r="M35" s="48"/>
      <c r="N35" s="48"/>
      <c r="O35" s="48"/>
      <c r="P35" s="48"/>
      <c r="Q35" s="48"/>
      <c r="R35" s="49"/>
      <c r="T35" s="47" t="s">
        <v>33</v>
      </c>
      <c r="U35" s="48"/>
      <c r="V35" s="48"/>
      <c r="W35" s="48"/>
      <c r="X35" s="48"/>
      <c r="Y35" s="48"/>
      <c r="Z35" s="48"/>
      <c r="AA35" s="49"/>
      <c r="AC35" s="48" t="str">
        <f>B35</f>
        <v>Ludwig</v>
      </c>
      <c r="AD35" s="48"/>
      <c r="AE35" s="48"/>
      <c r="AF35" s="48"/>
      <c r="AH35" s="48" t="str">
        <f>K35</f>
        <v>Andreas</v>
      </c>
      <c r="AI35" s="48"/>
      <c r="AJ35" s="48"/>
      <c r="AK35" s="48"/>
      <c r="AM35" s="48" t="str">
        <f>T35</f>
        <v>Peter</v>
      </c>
      <c r="AN35" s="48"/>
      <c r="AO35" s="48"/>
      <c r="AP35" s="48"/>
    </row>
    <row r="36" spans="1:42" x14ac:dyDescent="0.25">
      <c r="A36" s="21" t="s">
        <v>3</v>
      </c>
      <c r="B36" s="7"/>
      <c r="C36" s="4"/>
      <c r="D36" s="4"/>
      <c r="E36" s="4"/>
      <c r="F36" s="41">
        <f>F3</f>
        <v>17.399999999999999</v>
      </c>
      <c r="G36" s="4"/>
      <c r="H36" s="4"/>
      <c r="I36" s="8"/>
      <c r="J36" s="4"/>
      <c r="K36" s="7"/>
      <c r="L36" s="4"/>
      <c r="M36" s="4"/>
      <c r="N36" s="4"/>
      <c r="O36" s="41">
        <f>O3</f>
        <v>21.3</v>
      </c>
      <c r="P36" s="4"/>
      <c r="Q36" s="4"/>
      <c r="R36" s="8"/>
      <c r="S36" s="4"/>
      <c r="T36" s="7"/>
      <c r="U36" s="4"/>
      <c r="V36" s="4"/>
      <c r="W36" s="4"/>
      <c r="X36" s="41">
        <f>X3</f>
        <v>26.3</v>
      </c>
      <c r="Y36" s="4"/>
      <c r="Z36" s="4"/>
      <c r="AA36" s="8"/>
    </row>
    <row r="37" spans="1:42" x14ac:dyDescent="0.25">
      <c r="A37" s="20" t="s">
        <v>4</v>
      </c>
      <c r="B37" s="9"/>
      <c r="F37" s="6">
        <v>17</v>
      </c>
      <c r="I37" s="10"/>
      <c r="K37" s="9"/>
      <c r="O37" s="6">
        <v>21</v>
      </c>
      <c r="R37" s="10"/>
      <c r="T37" s="9"/>
      <c r="X37" s="6">
        <v>27</v>
      </c>
      <c r="AA37" s="10"/>
    </row>
    <row r="38" spans="1:42" x14ac:dyDescent="0.25">
      <c r="A38" s="15" t="s">
        <v>5</v>
      </c>
      <c r="B38" s="9"/>
      <c r="F38" s="3">
        <f>IF(F36&lt;4.4,1,IF(AND(F36&gt;=4.5,F36&lt;=11.4),2,IF(AND(F36&gt;=11.5,F36&lt;=18.4),3,IF(AND(F36&gt;=18.5,F36&lt;=26.4),4,IF(AND(F36&gt;=26.5,F36&lt;=36),5,IF(F36&gt;=36,6))))))</f>
        <v>3</v>
      </c>
      <c r="I38" s="10"/>
      <c r="K38" s="9"/>
      <c r="O38" s="3">
        <f>IF(O36&lt;4.4,1,IF(AND(O36&gt;=4.5,O36&lt;=11.4),2,IF(AND(O36&gt;=11.5,O36&lt;=18.4),3,IF(AND(O36&gt;=18.5,O36&lt;=26.4),4,IF(AND(O36&gt;=26.5,O36&lt;=36),5,IF(O36&gt;=36,6))))))</f>
        <v>4</v>
      </c>
      <c r="R38" s="10"/>
      <c r="T38" s="9"/>
      <c r="X38" s="3">
        <f>IF(X36&lt;4.4,1,IF(AND(X36&gt;=4.5,X36&lt;=11.4),2,IF(AND(X36&gt;=11.5,X36&lt;=18.4),3,IF(AND(X36&gt;=18.5,X36&lt;=26.4),4,IF(AND(X36&gt;=26.5,X36&lt;=36),5,IF(X36&gt;=36,6))))))</f>
        <v>4</v>
      </c>
      <c r="AA38" s="10"/>
    </row>
    <row r="39" spans="1:42" x14ac:dyDescent="0.25">
      <c r="A39" s="15" t="s">
        <v>6</v>
      </c>
      <c r="B39" s="9"/>
      <c r="F39" s="42">
        <f>VLOOKUP(F38,HCP!$A$6:$C$11,3,FALSE)</f>
        <v>33</v>
      </c>
      <c r="I39" s="10"/>
      <c r="K39" s="9"/>
      <c r="O39" s="42">
        <f>VLOOKUP(O38,HCP!$A$6:$C$11,3,FALSE)</f>
        <v>32</v>
      </c>
      <c r="R39" s="10"/>
      <c r="T39" s="9"/>
      <c r="X39" s="42">
        <f>VLOOKUP(X38,HCP!$A$6:$C$11,3,FALSE)</f>
        <v>32</v>
      </c>
      <c r="AA39" s="10"/>
    </row>
    <row r="40" spans="1:42" x14ac:dyDescent="0.25">
      <c r="A40" s="15"/>
      <c r="B40" s="9"/>
      <c r="F40" s="25" t="str">
        <f>IF(I64&gt;36,"Herabsetzung",IF(AND(I64&lt;=36,I64&gt;=F39),"Puffer","Heraufsetzung"))</f>
        <v>Heraufsetzung</v>
      </c>
      <c r="I40" s="10"/>
      <c r="K40" s="9"/>
      <c r="O40" s="25" t="str">
        <f>IF(R64&gt;36,"Herabsetzung",IF(AND(R64&lt;=36,R64&gt;=O39),"Puffer","Heraufsetzung"))</f>
        <v>Heraufsetzung</v>
      </c>
      <c r="R40" s="10"/>
      <c r="T40" s="9"/>
      <c r="X40" s="25" t="str">
        <f>IF(AA64&gt;36,"Herabsetzung",IF(AND(AA64&lt;=36,AA64&gt;=X39),"Puffer","Heraufsetzung"))</f>
        <v>Heraufsetzung</v>
      </c>
      <c r="AA40" s="10"/>
    </row>
    <row r="41" spans="1:42" x14ac:dyDescent="0.25">
      <c r="A41" s="15" t="s">
        <v>7</v>
      </c>
      <c r="B41" s="9"/>
      <c r="F41" s="42">
        <f>IF(F40="Heraufsetzung",INDEX(HCP!$C$395:$D$755,MATCH(F36,HCP!$C$394:$C$755,0),MATCH($A$8,HCP!$D$394,0)),IF(F40="Puffer",F36,IF(F40="Herabsetzung",INDEX(HCP!$C$29:$AK$389,MATCH(F36,HCP!$C$29:$C$389,0),MATCH(I64,HCP!$C$28:$AK$28,0)))))</f>
        <v>17.5</v>
      </c>
      <c r="I41" s="10"/>
      <c r="K41" s="9"/>
      <c r="O41" s="42">
        <f>IF(O40="Heraufsetzung",INDEX(HCP!$C$395:$D$755,MATCH(O36,HCP!$C$394:$C$755,0),MATCH($A$8,HCP!$D$394,0)),IF(O40="Puffer",O36,IF(O40="Herabsetzung",INDEX(HCP!$C$29:$AK$389,MATCH(O36,HCP!$C$29:$C$389,0),MATCH(R64,HCP!$C$28:$AK$28,0)))))</f>
        <v>21.4</v>
      </c>
      <c r="R41" s="10"/>
      <c r="T41" s="9"/>
      <c r="X41" s="42">
        <f>IF(X40="Heraufsetzung",INDEX(HCP!$C$395:$D$755,MATCH(X36,HCP!$C$394:$C$755,0),MATCH($A$8,HCP!$D$394,0)),IF(X40="Puffer",X36,IF(X40="Herabsetzung",INDEX(HCP!$C$29:$AK$389,MATCH(X36,HCP!$C$29:$C$389,0),MATCH(AA64,HCP!$C$28:$AK$28,0)))))</f>
        <v>26.4</v>
      </c>
      <c r="AA41" s="10"/>
    </row>
    <row r="42" spans="1:42" x14ac:dyDescent="0.25">
      <c r="B42" s="9"/>
      <c r="C42" t="s">
        <v>3</v>
      </c>
      <c r="D42" t="s">
        <v>8</v>
      </c>
      <c r="F42" t="s">
        <v>9</v>
      </c>
      <c r="G42" t="s">
        <v>10</v>
      </c>
      <c r="H42" t="s">
        <v>11</v>
      </c>
      <c r="I42" s="10" t="s">
        <v>12</v>
      </c>
      <c r="K42" s="9"/>
      <c r="L42" t="s">
        <v>3</v>
      </c>
      <c r="M42" t="s">
        <v>8</v>
      </c>
      <c r="O42" t="s">
        <v>9</v>
      </c>
      <c r="P42" t="s">
        <v>10</v>
      </c>
      <c r="Q42" t="s">
        <v>11</v>
      </c>
      <c r="R42" s="10" t="s">
        <v>12</v>
      </c>
      <c r="T42" s="9"/>
      <c r="U42" t="s">
        <v>3</v>
      </c>
      <c r="V42" t="s">
        <v>8</v>
      </c>
      <c r="X42" t="s">
        <v>9</v>
      </c>
      <c r="Y42" t="s">
        <v>10</v>
      </c>
      <c r="Z42" t="s">
        <v>11</v>
      </c>
      <c r="AA42" s="10" t="s">
        <v>12</v>
      </c>
      <c r="AC42" t="s">
        <v>34</v>
      </c>
      <c r="AD42" t="s">
        <v>35</v>
      </c>
      <c r="AE42" t="s">
        <v>35</v>
      </c>
      <c r="AF42" t="s">
        <v>36</v>
      </c>
      <c r="AH42" t="s">
        <v>34</v>
      </c>
      <c r="AI42" t="s">
        <v>35</v>
      </c>
      <c r="AJ42" t="s">
        <v>35</v>
      </c>
      <c r="AK42" t="s">
        <v>36</v>
      </c>
      <c r="AM42" t="s">
        <v>34</v>
      </c>
      <c r="AN42" t="s">
        <v>35</v>
      </c>
      <c r="AO42" t="s">
        <v>35</v>
      </c>
      <c r="AP42" t="s">
        <v>36</v>
      </c>
    </row>
    <row r="43" spans="1:42" x14ac:dyDescent="0.25">
      <c r="B43" s="9" t="s">
        <v>13</v>
      </c>
      <c r="C43" s="3">
        <v>9</v>
      </c>
      <c r="D43" s="3">
        <v>4</v>
      </c>
      <c r="F43">
        <f>INDEX(Basis!$C$2:$BJ$19,MATCH($C43,Basis!$B$2:$B$19,0),MATCH(F$37,Basis!$C$1:$BJ$1,0))</f>
        <v>1</v>
      </c>
      <c r="G43" s="3"/>
      <c r="H43" s="3">
        <f>IF(G43="",0,IF(G43-D43=0,2,IF(G43-D43=-1,3,IF(G43-D43=-2,4,IF(G43-D43=-3,5,IF(G43-D43=-4,6,IF(G43-D43=1,1,IF(G43-D43&gt;=2,0,))))))))</f>
        <v>0</v>
      </c>
      <c r="I43" s="11">
        <f t="shared" ref="I43:I60" si="31">IF(G43="",0,IF(G43-F43-D43=0,2,IF(G43-F43-D43=-1,3,IF(G43-F43-D43=-2,4,IF(G43-F43-D43=-3,5,IF(G43-F43-D43=-4,6,IF(G43-F43-D43=1,1,IF(G43-F43-D43&gt;=2,0,))))))))</f>
        <v>0</v>
      </c>
      <c r="K43" s="9" t="s">
        <v>13</v>
      </c>
      <c r="L43" s="3">
        <f t="shared" ref="L43:L60" si="32">C43</f>
        <v>9</v>
      </c>
      <c r="M43" s="3">
        <f t="shared" ref="M43:M60" si="33">D43</f>
        <v>4</v>
      </c>
      <c r="O43">
        <f>INDEX(Basis!$C$2:$BJ$19,MATCH($C43,Basis!$B$2:$B$19,0),MATCH(O$37,Basis!$C$1:$BJ$1,0))</f>
        <v>1</v>
      </c>
      <c r="P43" s="3"/>
      <c r="Q43" s="3">
        <f>IF(P43="",0,IF(P43-M43=0,2,IF(P43-M43=-1,3,IF(P43-M43=-2,4,IF(P43-M43=-3,5,IF(P43-M43=-4,6,IF(P43-M43=1,1,IF(P43-M43&gt;=2,0,))))))))</f>
        <v>0</v>
      </c>
      <c r="R43" s="11">
        <f>IF(P43="",0,IF(P43-O43-M43=0,2,IF(P43-O43-M43=-1,3,IF(P43-O43-M43=-2,4,IF(P43-O43-M43=-3,5,IF(P43-O43-M43=-4,6,IF(P43-O43-M43=1,1,IF(P43-O43-M43&gt;=2,0,))))))))</f>
        <v>0</v>
      </c>
      <c r="T43" s="9" t="s">
        <v>13</v>
      </c>
      <c r="U43" s="3">
        <f>C43</f>
        <v>9</v>
      </c>
      <c r="V43" s="3">
        <f>D43</f>
        <v>4</v>
      </c>
      <c r="X43">
        <f>INDEX(Basis!$C$2:$BJ$19,MATCH($U43,Basis!$B$2:$B$19,0),MATCH(X$37,Basis!$C$1:$BJ$1,0))</f>
        <v>2</v>
      </c>
      <c r="Y43" s="3"/>
      <c r="Z43" s="3">
        <f>IF(Y43="",0,IF(Y43-V43=0,2,IF(Y43-V43=-1,3,IF(Y43-V43=-2,4,IF(Y43-V43=-3,5,IF(Y43-V43=-4,6,IF(Y43-V43=1,1,IF(Y43-V43&gt;=2,0,))))))))</f>
        <v>0</v>
      </c>
      <c r="AA43" s="11">
        <f>IF(Y43="",0,IF(Y43-X43-V43=0,2,IF(Y43-X43-V43=-1,3,IF(Y43-X43-V43=-2,4,IF(Y43-X43-V43=-3,5,IF(Y43-X43-V43=-4,6,IF(Y43-X43-V43=1,1,IF(Y43-X43-V43&gt;=2,0,))))))))</f>
        <v>0</v>
      </c>
      <c r="AC43">
        <f>IF(AND(G43&lt;P43,G43&lt;Y43),2,0)</f>
        <v>0</v>
      </c>
      <c r="AD43">
        <f>IF(AND(G43&lt;P43,G43=Y43),1,0)</f>
        <v>0</v>
      </c>
      <c r="AE43">
        <f>IF(AND(G43=P43,G43&lt;Y43),1,0)</f>
        <v>0</v>
      </c>
      <c r="AF43">
        <f>IF(AND(G43=P43,G43=Y43),1,0)</f>
        <v>1</v>
      </c>
      <c r="AH43">
        <f>IF(AND(P43&lt;G43,P43&lt;Y43),2,0)</f>
        <v>0</v>
      </c>
      <c r="AI43">
        <f>IF(AND(P43=G43,P43&lt;Y43),1,0)</f>
        <v>0</v>
      </c>
      <c r="AJ43">
        <f>IF(AND(P43=Y43,P43&lt;G43),1,0)</f>
        <v>0</v>
      </c>
      <c r="AK43">
        <f>IF(AND(P43=G43,P43=Y43),1,0)</f>
        <v>1</v>
      </c>
      <c r="AM43">
        <f>IF(AND(Y43&lt;G43,Y43&lt;P43),2,0)</f>
        <v>0</v>
      </c>
      <c r="AN43">
        <f>IF(AND(Y43=G43,Y43&lt;P43),1,0)</f>
        <v>0</v>
      </c>
      <c r="AO43">
        <f>IF(AND(Y43=P43,Y43&lt;G43),1,0)</f>
        <v>0</v>
      </c>
      <c r="AP43">
        <f>IF(AND(Y43=G43,Y43=P43),1,0)</f>
        <v>1</v>
      </c>
    </row>
    <row r="44" spans="1:42" x14ac:dyDescent="0.25">
      <c r="B44" s="9" t="s">
        <v>14</v>
      </c>
      <c r="C44" s="3">
        <v>3</v>
      </c>
      <c r="D44" s="3">
        <v>5</v>
      </c>
      <c r="F44">
        <f>INDEX(Basis!$C$2:$BJ$19,MATCH($C44,Basis!$B$2:$B$19,0),MATCH(F$37,Basis!$C$1:$BJ$1,0))</f>
        <v>1</v>
      </c>
      <c r="G44" s="3"/>
      <c r="H44" s="3">
        <f t="shared" ref="H44:H60" si="34">IF(G44="",0,IF(G44-D44=0,2,IF(G44-D44=-1,3,IF(G44-D44=-2,4,IF(G44-D44=-3,5,IF(G44-D44=-4,6,IF(G44-D44=1,1,IF(G44-D44&gt;=2,0,))))))))</f>
        <v>0</v>
      </c>
      <c r="I44" s="11">
        <f t="shared" si="31"/>
        <v>0</v>
      </c>
      <c r="K44" s="9" t="s">
        <v>14</v>
      </c>
      <c r="L44" s="3">
        <f t="shared" si="32"/>
        <v>3</v>
      </c>
      <c r="M44" s="3">
        <f t="shared" si="33"/>
        <v>5</v>
      </c>
      <c r="O44">
        <f>INDEX(Basis!$C$2:$BJ$19,MATCH($C44,Basis!$B$2:$B$19,0),MATCH(O$37,Basis!$C$1:$BJ$1,0))</f>
        <v>2</v>
      </c>
      <c r="P44" s="3"/>
      <c r="Q44" s="3">
        <f t="shared" ref="Q44:Q60" si="35">IF(P44="",0,IF(P44-M44=0,2,IF(P44-M44=-1,3,IF(P44-M44=-2,4,IF(P44-M44=-3,5,IF(P44-M44=-4,6,IF(P44-M44=1,1,IF(P44-M44&gt;=2,0,))))))))</f>
        <v>0</v>
      </c>
      <c r="R44" s="11">
        <f t="shared" ref="R44:R60" si="36">IF(P44="",0,IF(P44-O44-M44=0,2,IF(P44-O44-M44=-1,3,IF(P44-O44-M44=-2,4,IF(P44-O44-M44=-3,5,IF(P44-O44-M44=-4,6,IF(P44-O44-M44=1,1,IF(P44-O44-M44&gt;=2,0,))))))))</f>
        <v>0</v>
      </c>
      <c r="T44" s="9" t="s">
        <v>14</v>
      </c>
      <c r="U44" s="3">
        <f t="shared" ref="U44:U60" si="37">C44</f>
        <v>3</v>
      </c>
      <c r="V44" s="3">
        <f t="shared" ref="V44:V60" si="38">D44</f>
        <v>5</v>
      </c>
      <c r="X44">
        <f>INDEX(Basis!$C$2:$BJ$19,MATCH($U44,Basis!$B$2:$B$19,0),MATCH(X$37,Basis!$C$1:$BJ$1,0))</f>
        <v>2</v>
      </c>
      <c r="Y44" s="3"/>
      <c r="Z44" s="3">
        <f t="shared" ref="Z44:Z60" si="39">IF(Y44="",0,IF(Y44-V44=0,2,IF(Y44-V44=-1,3,IF(Y44-V44=-2,4,IF(Y44-V44=-3,5,IF(Y44-V44=-4,6,IF(Y44-V44=1,1,IF(Y44-V44&gt;=2,0,))))))))</f>
        <v>0</v>
      </c>
      <c r="AA44" s="11">
        <f t="shared" ref="AA44:AA60" si="40">IF(Y44="",0,IF(Y44-X44-V44=0,2,IF(Y44-X44-V44=-1,3,IF(Y44-X44-V44=-2,4,IF(Y44-X44-V44=-3,5,IF(Y44-X44-V44=-4,6,IF(Y44-X44-V44=1,1,IF(Y44-X44-V44&gt;=2,0,))))))))</f>
        <v>0</v>
      </c>
      <c r="AC44">
        <f t="shared" ref="AC44:AC60" si="41">IF(AND(G44&lt;P44,G44&lt;Y44),2,0)</f>
        <v>0</v>
      </c>
      <c r="AD44">
        <f t="shared" ref="AD44:AD60" si="42">IF(AND(G44&lt;P44,G44=Y44),1,0)</f>
        <v>0</v>
      </c>
      <c r="AE44">
        <f t="shared" ref="AE44:AE60" si="43">IF(AND(G44=P44,G44&lt;Y44),1,0)</f>
        <v>0</v>
      </c>
      <c r="AF44">
        <f t="shared" ref="AF44:AF60" si="44">IF(AND(G44=P44,G44=Y44),1,0)</f>
        <v>1</v>
      </c>
      <c r="AH44">
        <f t="shared" ref="AH44:AH60" si="45">IF(AND(P44&lt;G44,P44&lt;Y44),2,0)</f>
        <v>0</v>
      </c>
      <c r="AI44">
        <f t="shared" ref="AI44:AI60" si="46">IF(AND(P44=G44,P44&lt;Y44),1,0)</f>
        <v>0</v>
      </c>
      <c r="AJ44">
        <f t="shared" ref="AJ44:AJ60" si="47">IF(AND(P44=Y44,P44&lt;G44),1,0)</f>
        <v>0</v>
      </c>
      <c r="AK44">
        <f t="shared" ref="AK44:AK60" si="48">IF(AND(P44=G44,P44=Y44),1,0)</f>
        <v>1</v>
      </c>
      <c r="AM44">
        <f t="shared" ref="AM44:AM60" si="49">IF(AND(Y44&lt;G44,Y44&lt;P44),2,0)</f>
        <v>0</v>
      </c>
      <c r="AN44">
        <f t="shared" ref="AN44:AN60" si="50">IF(AND(Y44=G44,Y44&lt;P44),1,0)</f>
        <v>0</v>
      </c>
      <c r="AO44">
        <f t="shared" ref="AO44:AO60" si="51">IF(AND(Y44=P44,Y44&lt;G44),1,0)</f>
        <v>0</v>
      </c>
      <c r="AP44">
        <f t="shared" ref="AP44:AP60" si="52">IF(AND(Y44=G44,Y44=P44),1,0)</f>
        <v>1</v>
      </c>
    </row>
    <row r="45" spans="1:42" x14ac:dyDescent="0.25">
      <c r="B45" s="9" t="s">
        <v>15</v>
      </c>
      <c r="C45" s="3">
        <v>1</v>
      </c>
      <c r="D45" s="3">
        <v>4</v>
      </c>
      <c r="F45">
        <f>INDEX(Basis!$C$2:$BJ$19,MATCH($C45,Basis!$B$2:$B$19,0),MATCH(F$37,Basis!$C$1:$BJ$1,0))</f>
        <v>1</v>
      </c>
      <c r="G45" s="3"/>
      <c r="H45" s="3">
        <f t="shared" si="34"/>
        <v>0</v>
      </c>
      <c r="I45" s="11">
        <f t="shared" si="31"/>
        <v>0</v>
      </c>
      <c r="K45" s="9" t="s">
        <v>15</v>
      </c>
      <c r="L45" s="3">
        <f t="shared" si="32"/>
        <v>1</v>
      </c>
      <c r="M45" s="3">
        <f t="shared" si="33"/>
        <v>4</v>
      </c>
      <c r="O45">
        <f>INDEX(Basis!$C$2:$BJ$19,MATCH($C45,Basis!$B$2:$B$19,0),MATCH(O$37,Basis!$C$1:$BJ$1,0))</f>
        <v>2</v>
      </c>
      <c r="P45" s="3"/>
      <c r="Q45" s="3">
        <f t="shared" si="35"/>
        <v>0</v>
      </c>
      <c r="R45" s="11">
        <f t="shared" si="36"/>
        <v>0</v>
      </c>
      <c r="T45" s="9" t="s">
        <v>15</v>
      </c>
      <c r="U45" s="3">
        <f t="shared" si="37"/>
        <v>1</v>
      </c>
      <c r="V45" s="3">
        <f t="shared" si="38"/>
        <v>4</v>
      </c>
      <c r="X45">
        <f>INDEX(Basis!$C$2:$BJ$19,MATCH($U45,Basis!$B$2:$B$19,0),MATCH(X$37,Basis!$C$1:$BJ$1,0))</f>
        <v>2</v>
      </c>
      <c r="Y45" s="3"/>
      <c r="Z45" s="3">
        <f t="shared" si="39"/>
        <v>0</v>
      </c>
      <c r="AA45" s="11">
        <f t="shared" si="40"/>
        <v>0</v>
      </c>
      <c r="AC45">
        <f t="shared" si="41"/>
        <v>0</v>
      </c>
      <c r="AD45">
        <f t="shared" si="42"/>
        <v>0</v>
      </c>
      <c r="AE45">
        <f t="shared" si="43"/>
        <v>0</v>
      </c>
      <c r="AF45">
        <f t="shared" si="44"/>
        <v>1</v>
      </c>
      <c r="AH45">
        <f t="shared" si="45"/>
        <v>0</v>
      </c>
      <c r="AI45">
        <f t="shared" si="46"/>
        <v>0</v>
      </c>
      <c r="AJ45">
        <f t="shared" si="47"/>
        <v>0</v>
      </c>
      <c r="AK45">
        <f t="shared" si="48"/>
        <v>1</v>
      </c>
      <c r="AM45">
        <f t="shared" si="49"/>
        <v>0</v>
      </c>
      <c r="AN45">
        <f t="shared" si="50"/>
        <v>0</v>
      </c>
      <c r="AO45">
        <f t="shared" si="51"/>
        <v>0</v>
      </c>
      <c r="AP45">
        <f t="shared" si="52"/>
        <v>1</v>
      </c>
    </row>
    <row r="46" spans="1:42" x14ac:dyDescent="0.25">
      <c r="B46" s="9" t="s">
        <v>16</v>
      </c>
      <c r="C46" s="3">
        <v>13</v>
      </c>
      <c r="D46" s="3">
        <v>3</v>
      </c>
      <c r="F46">
        <f>INDEX(Basis!$C$2:$BJ$19,MATCH($C46,Basis!$B$2:$B$19,0),MATCH(F$37,Basis!$C$1:$BJ$1,0))</f>
        <v>1</v>
      </c>
      <c r="G46" s="3"/>
      <c r="H46" s="3">
        <f t="shared" si="34"/>
        <v>0</v>
      </c>
      <c r="I46" s="11">
        <f t="shared" si="31"/>
        <v>0</v>
      </c>
      <c r="K46" s="9" t="s">
        <v>16</v>
      </c>
      <c r="L46" s="3">
        <f t="shared" si="32"/>
        <v>13</v>
      </c>
      <c r="M46" s="3">
        <f t="shared" si="33"/>
        <v>3</v>
      </c>
      <c r="O46">
        <f>INDEX(Basis!$C$2:$BJ$19,MATCH($C46,Basis!$B$2:$B$19,0),MATCH(O$37,Basis!$C$1:$BJ$1,0))</f>
        <v>1</v>
      </c>
      <c r="P46" s="3"/>
      <c r="Q46" s="3">
        <f t="shared" si="35"/>
        <v>0</v>
      </c>
      <c r="R46" s="11">
        <f t="shared" si="36"/>
        <v>0</v>
      </c>
      <c r="T46" s="9" t="s">
        <v>16</v>
      </c>
      <c r="U46" s="3">
        <f t="shared" si="37"/>
        <v>13</v>
      </c>
      <c r="V46" s="3">
        <f t="shared" si="38"/>
        <v>3</v>
      </c>
      <c r="X46">
        <f>INDEX(Basis!$C$2:$BJ$19,MATCH($U46,Basis!$B$2:$B$19,0),MATCH(X$37,Basis!$C$1:$BJ$1,0))</f>
        <v>1</v>
      </c>
      <c r="Y46" s="3"/>
      <c r="Z46" s="3">
        <f t="shared" si="39"/>
        <v>0</v>
      </c>
      <c r="AA46" s="11">
        <f t="shared" si="40"/>
        <v>0</v>
      </c>
      <c r="AC46">
        <f t="shared" si="41"/>
        <v>0</v>
      </c>
      <c r="AD46">
        <f t="shared" si="42"/>
        <v>0</v>
      </c>
      <c r="AE46">
        <f t="shared" si="43"/>
        <v>0</v>
      </c>
      <c r="AF46">
        <f t="shared" si="44"/>
        <v>1</v>
      </c>
      <c r="AH46">
        <f t="shared" si="45"/>
        <v>0</v>
      </c>
      <c r="AI46">
        <f t="shared" si="46"/>
        <v>0</v>
      </c>
      <c r="AJ46">
        <f t="shared" si="47"/>
        <v>0</v>
      </c>
      <c r="AK46">
        <f t="shared" si="48"/>
        <v>1</v>
      </c>
      <c r="AM46">
        <f t="shared" si="49"/>
        <v>0</v>
      </c>
      <c r="AN46">
        <f t="shared" si="50"/>
        <v>0</v>
      </c>
      <c r="AO46">
        <f t="shared" si="51"/>
        <v>0</v>
      </c>
      <c r="AP46">
        <f t="shared" si="52"/>
        <v>1</v>
      </c>
    </row>
    <row r="47" spans="1:42" x14ac:dyDescent="0.25">
      <c r="B47" s="9" t="s">
        <v>17</v>
      </c>
      <c r="C47" s="3">
        <v>11</v>
      </c>
      <c r="D47" s="3">
        <v>4</v>
      </c>
      <c r="F47">
        <f>INDEX(Basis!$C$2:$BJ$19,MATCH($C47,Basis!$B$2:$B$19,0),MATCH(F$37,Basis!$C$1:$BJ$1,0))</f>
        <v>1</v>
      </c>
      <c r="G47" s="3"/>
      <c r="H47" s="3">
        <f t="shared" si="34"/>
        <v>0</v>
      </c>
      <c r="I47" s="11">
        <f t="shared" si="31"/>
        <v>0</v>
      </c>
      <c r="K47" s="9" t="s">
        <v>17</v>
      </c>
      <c r="L47" s="3">
        <f t="shared" si="32"/>
        <v>11</v>
      </c>
      <c r="M47" s="3">
        <f t="shared" si="33"/>
        <v>4</v>
      </c>
      <c r="O47">
        <f>INDEX(Basis!$C$2:$BJ$19,MATCH($C47,Basis!$B$2:$B$19,0),MATCH(O$37,Basis!$C$1:$BJ$1,0))</f>
        <v>1</v>
      </c>
      <c r="P47" s="3"/>
      <c r="Q47" s="3">
        <f t="shared" si="35"/>
        <v>0</v>
      </c>
      <c r="R47" s="11">
        <f t="shared" si="36"/>
        <v>0</v>
      </c>
      <c r="T47" s="9" t="s">
        <v>17</v>
      </c>
      <c r="U47" s="3">
        <f t="shared" si="37"/>
        <v>11</v>
      </c>
      <c r="V47" s="3">
        <f t="shared" si="38"/>
        <v>4</v>
      </c>
      <c r="X47">
        <f>INDEX(Basis!$C$2:$BJ$19,MATCH($U47,Basis!$B$2:$B$19,0),MATCH(X$37,Basis!$C$1:$BJ$1,0))</f>
        <v>1</v>
      </c>
      <c r="Y47" s="3"/>
      <c r="Z47" s="3">
        <f t="shared" si="39"/>
        <v>0</v>
      </c>
      <c r="AA47" s="11">
        <f t="shared" si="40"/>
        <v>0</v>
      </c>
      <c r="AC47">
        <f t="shared" si="41"/>
        <v>0</v>
      </c>
      <c r="AD47">
        <f t="shared" si="42"/>
        <v>0</v>
      </c>
      <c r="AE47">
        <f t="shared" si="43"/>
        <v>0</v>
      </c>
      <c r="AF47">
        <f t="shared" si="44"/>
        <v>1</v>
      </c>
      <c r="AH47">
        <f t="shared" si="45"/>
        <v>0</v>
      </c>
      <c r="AI47">
        <f t="shared" si="46"/>
        <v>0</v>
      </c>
      <c r="AJ47">
        <f t="shared" si="47"/>
        <v>0</v>
      </c>
      <c r="AK47">
        <f t="shared" si="48"/>
        <v>1</v>
      </c>
      <c r="AM47">
        <f t="shared" si="49"/>
        <v>0</v>
      </c>
      <c r="AN47">
        <f t="shared" si="50"/>
        <v>0</v>
      </c>
      <c r="AO47">
        <f t="shared" si="51"/>
        <v>0</v>
      </c>
      <c r="AP47">
        <f t="shared" si="52"/>
        <v>1</v>
      </c>
    </row>
    <row r="48" spans="1:42" x14ac:dyDescent="0.25">
      <c r="B48" s="9" t="s">
        <v>18</v>
      </c>
      <c r="C48" s="3">
        <v>5</v>
      </c>
      <c r="D48" s="3">
        <v>4</v>
      </c>
      <c r="F48">
        <f>INDEX(Basis!$C$2:$BJ$19,MATCH($C48,Basis!$B$2:$B$19,0),MATCH(F$37,Basis!$C$1:$BJ$1,0))</f>
        <v>1</v>
      </c>
      <c r="G48" s="3"/>
      <c r="H48" s="3">
        <f t="shared" si="34"/>
        <v>0</v>
      </c>
      <c r="I48" s="11">
        <f t="shared" si="31"/>
        <v>0</v>
      </c>
      <c r="K48" s="9" t="s">
        <v>18</v>
      </c>
      <c r="L48" s="3">
        <f t="shared" si="32"/>
        <v>5</v>
      </c>
      <c r="M48" s="3">
        <f t="shared" si="33"/>
        <v>4</v>
      </c>
      <c r="O48">
        <f>INDEX(Basis!$C$2:$BJ$19,MATCH($C48,Basis!$B$2:$B$19,0),MATCH(O$37,Basis!$C$1:$BJ$1,0))</f>
        <v>1</v>
      </c>
      <c r="P48" s="3"/>
      <c r="Q48" s="3">
        <f t="shared" si="35"/>
        <v>0</v>
      </c>
      <c r="R48" s="11">
        <f t="shared" si="36"/>
        <v>0</v>
      </c>
      <c r="T48" s="9" t="s">
        <v>18</v>
      </c>
      <c r="U48" s="3">
        <f t="shared" si="37"/>
        <v>5</v>
      </c>
      <c r="V48" s="3">
        <f t="shared" si="38"/>
        <v>4</v>
      </c>
      <c r="X48">
        <f>INDEX(Basis!$C$2:$BJ$19,MATCH($U48,Basis!$B$2:$B$19,0),MATCH(X$37,Basis!$C$1:$BJ$1,0))</f>
        <v>2</v>
      </c>
      <c r="Y48" s="3"/>
      <c r="Z48" s="3">
        <f t="shared" si="39"/>
        <v>0</v>
      </c>
      <c r="AA48" s="11">
        <f t="shared" si="40"/>
        <v>0</v>
      </c>
      <c r="AC48">
        <f t="shared" si="41"/>
        <v>0</v>
      </c>
      <c r="AD48">
        <f t="shared" si="42"/>
        <v>0</v>
      </c>
      <c r="AE48">
        <f t="shared" si="43"/>
        <v>0</v>
      </c>
      <c r="AF48">
        <f t="shared" si="44"/>
        <v>1</v>
      </c>
      <c r="AH48">
        <f t="shared" si="45"/>
        <v>0</v>
      </c>
      <c r="AI48">
        <f t="shared" si="46"/>
        <v>0</v>
      </c>
      <c r="AJ48">
        <f t="shared" si="47"/>
        <v>0</v>
      </c>
      <c r="AK48">
        <f t="shared" si="48"/>
        <v>1</v>
      </c>
      <c r="AM48">
        <f t="shared" si="49"/>
        <v>0</v>
      </c>
      <c r="AN48">
        <f t="shared" si="50"/>
        <v>0</v>
      </c>
      <c r="AO48">
        <f t="shared" si="51"/>
        <v>0</v>
      </c>
      <c r="AP48">
        <f t="shared" si="52"/>
        <v>1</v>
      </c>
    </row>
    <row r="49" spans="2:42" x14ac:dyDescent="0.25">
      <c r="B49" s="9" t="s">
        <v>19</v>
      </c>
      <c r="C49" s="3">
        <v>15</v>
      </c>
      <c r="D49" s="3">
        <v>4</v>
      </c>
      <c r="F49">
        <f>INDEX(Basis!$C$2:$BJ$19,MATCH($C49,Basis!$B$2:$B$19,0),MATCH(F$37,Basis!$C$1:$BJ$1,0))</f>
        <v>1</v>
      </c>
      <c r="G49" s="3"/>
      <c r="H49" s="3">
        <f t="shared" si="34"/>
        <v>0</v>
      </c>
      <c r="I49" s="11">
        <f t="shared" si="31"/>
        <v>0</v>
      </c>
      <c r="K49" s="9" t="s">
        <v>19</v>
      </c>
      <c r="L49" s="3">
        <f t="shared" si="32"/>
        <v>15</v>
      </c>
      <c r="M49" s="3">
        <f t="shared" si="33"/>
        <v>4</v>
      </c>
      <c r="O49">
        <f>INDEX(Basis!$C$2:$BJ$19,MATCH($C49,Basis!$B$2:$B$19,0),MATCH(O$37,Basis!$C$1:$BJ$1,0))</f>
        <v>1</v>
      </c>
      <c r="P49" s="3"/>
      <c r="Q49" s="3">
        <f t="shared" si="35"/>
        <v>0</v>
      </c>
      <c r="R49" s="11">
        <f t="shared" si="36"/>
        <v>0</v>
      </c>
      <c r="T49" s="9" t="s">
        <v>19</v>
      </c>
      <c r="U49" s="3">
        <f t="shared" si="37"/>
        <v>15</v>
      </c>
      <c r="V49" s="3">
        <f t="shared" si="38"/>
        <v>4</v>
      </c>
      <c r="X49">
        <f>INDEX(Basis!$C$2:$BJ$19,MATCH($U49,Basis!$B$2:$B$19,0),MATCH(X$37,Basis!$C$1:$BJ$1,0))</f>
        <v>1</v>
      </c>
      <c r="Y49" s="3"/>
      <c r="Z49" s="3">
        <f t="shared" si="39"/>
        <v>0</v>
      </c>
      <c r="AA49" s="11">
        <f t="shared" si="40"/>
        <v>0</v>
      </c>
      <c r="AC49">
        <f t="shared" si="41"/>
        <v>0</v>
      </c>
      <c r="AD49">
        <f t="shared" si="42"/>
        <v>0</v>
      </c>
      <c r="AE49">
        <f t="shared" si="43"/>
        <v>0</v>
      </c>
      <c r="AF49">
        <f t="shared" si="44"/>
        <v>1</v>
      </c>
      <c r="AH49">
        <f t="shared" si="45"/>
        <v>0</v>
      </c>
      <c r="AI49">
        <f t="shared" si="46"/>
        <v>0</v>
      </c>
      <c r="AJ49">
        <f t="shared" si="47"/>
        <v>0</v>
      </c>
      <c r="AK49">
        <f t="shared" si="48"/>
        <v>1</v>
      </c>
      <c r="AM49">
        <f t="shared" si="49"/>
        <v>0</v>
      </c>
      <c r="AN49">
        <f t="shared" si="50"/>
        <v>0</v>
      </c>
      <c r="AO49">
        <f t="shared" si="51"/>
        <v>0</v>
      </c>
      <c r="AP49">
        <f t="shared" si="52"/>
        <v>1</v>
      </c>
    </row>
    <row r="50" spans="2:42" x14ac:dyDescent="0.25">
      <c r="B50" s="9" t="s">
        <v>20</v>
      </c>
      <c r="C50" s="3">
        <v>17</v>
      </c>
      <c r="D50" s="3">
        <v>3</v>
      </c>
      <c r="F50">
        <f>INDEX(Basis!$C$2:$BJ$19,MATCH($C50,Basis!$B$2:$B$19,0),MATCH(F$37,Basis!$C$1:$BJ$1,0))</f>
        <v>1</v>
      </c>
      <c r="G50" s="3"/>
      <c r="H50" s="3">
        <f t="shared" si="34"/>
        <v>0</v>
      </c>
      <c r="I50" s="11">
        <f t="shared" si="31"/>
        <v>0</v>
      </c>
      <c r="K50" s="9" t="s">
        <v>20</v>
      </c>
      <c r="L50" s="3">
        <f t="shared" si="32"/>
        <v>17</v>
      </c>
      <c r="M50" s="3">
        <f t="shared" si="33"/>
        <v>3</v>
      </c>
      <c r="O50">
        <f>INDEX(Basis!$C$2:$BJ$19,MATCH($C50,Basis!$B$2:$B$19,0),MATCH(O$37,Basis!$C$1:$BJ$1,0))</f>
        <v>1</v>
      </c>
      <c r="P50" s="3"/>
      <c r="Q50" s="3">
        <f t="shared" si="35"/>
        <v>0</v>
      </c>
      <c r="R50" s="11">
        <f t="shared" si="36"/>
        <v>0</v>
      </c>
      <c r="T50" s="9" t="s">
        <v>20</v>
      </c>
      <c r="U50" s="3">
        <f t="shared" si="37"/>
        <v>17</v>
      </c>
      <c r="V50" s="3">
        <f t="shared" si="38"/>
        <v>3</v>
      </c>
      <c r="X50">
        <f>INDEX(Basis!$C$2:$BJ$19,MATCH($U50,Basis!$B$2:$B$19,0),MATCH(X$37,Basis!$C$1:$BJ$1,0))</f>
        <v>1</v>
      </c>
      <c r="Y50" s="3"/>
      <c r="Z50" s="3">
        <f t="shared" si="39"/>
        <v>0</v>
      </c>
      <c r="AA50" s="11">
        <f t="shared" si="40"/>
        <v>0</v>
      </c>
      <c r="AC50">
        <f t="shared" si="41"/>
        <v>0</v>
      </c>
      <c r="AD50">
        <f t="shared" si="42"/>
        <v>0</v>
      </c>
      <c r="AE50">
        <f t="shared" si="43"/>
        <v>0</v>
      </c>
      <c r="AF50">
        <f t="shared" si="44"/>
        <v>1</v>
      </c>
      <c r="AH50">
        <f t="shared" si="45"/>
        <v>0</v>
      </c>
      <c r="AI50">
        <f t="shared" si="46"/>
        <v>0</v>
      </c>
      <c r="AJ50">
        <f t="shared" si="47"/>
        <v>0</v>
      </c>
      <c r="AK50">
        <f t="shared" si="48"/>
        <v>1</v>
      </c>
      <c r="AM50">
        <f t="shared" si="49"/>
        <v>0</v>
      </c>
      <c r="AN50">
        <f t="shared" si="50"/>
        <v>0</v>
      </c>
      <c r="AO50">
        <f t="shared" si="51"/>
        <v>0</v>
      </c>
      <c r="AP50">
        <f t="shared" si="52"/>
        <v>1</v>
      </c>
    </row>
    <row r="51" spans="2:42" x14ac:dyDescent="0.25">
      <c r="B51" s="9" t="s">
        <v>21</v>
      </c>
      <c r="C51" s="3">
        <v>7</v>
      </c>
      <c r="D51" s="3">
        <v>4</v>
      </c>
      <c r="F51">
        <f>INDEX(Basis!$C$2:$BJ$19,MATCH($C51,Basis!$B$2:$B$19,0),MATCH(F$37,Basis!$C$1:$BJ$1,0))</f>
        <v>1</v>
      </c>
      <c r="G51" s="3"/>
      <c r="H51" s="3">
        <f t="shared" si="34"/>
        <v>0</v>
      </c>
      <c r="I51" s="11">
        <f t="shared" si="31"/>
        <v>0</v>
      </c>
      <c r="K51" s="9" t="s">
        <v>21</v>
      </c>
      <c r="L51" s="3">
        <f t="shared" si="32"/>
        <v>7</v>
      </c>
      <c r="M51" s="3">
        <f t="shared" si="33"/>
        <v>4</v>
      </c>
      <c r="O51">
        <f>INDEX(Basis!$C$2:$BJ$19,MATCH($C51,Basis!$B$2:$B$19,0),MATCH(O$37,Basis!$C$1:$BJ$1,0))</f>
        <v>1</v>
      </c>
      <c r="P51" s="3"/>
      <c r="Q51" s="3">
        <f t="shared" si="35"/>
        <v>0</v>
      </c>
      <c r="R51" s="11">
        <f t="shared" si="36"/>
        <v>0</v>
      </c>
      <c r="T51" s="9" t="s">
        <v>21</v>
      </c>
      <c r="U51" s="3">
        <f t="shared" si="37"/>
        <v>7</v>
      </c>
      <c r="V51" s="3">
        <f t="shared" si="38"/>
        <v>4</v>
      </c>
      <c r="X51">
        <f>INDEX(Basis!$C$2:$BJ$19,MATCH($U51,Basis!$B$2:$B$19,0),MATCH(X$37,Basis!$C$1:$BJ$1,0))</f>
        <v>2</v>
      </c>
      <c r="Y51" s="3"/>
      <c r="Z51" s="3">
        <f t="shared" si="39"/>
        <v>0</v>
      </c>
      <c r="AA51" s="11">
        <f t="shared" si="40"/>
        <v>0</v>
      </c>
      <c r="AC51">
        <f t="shared" si="41"/>
        <v>0</v>
      </c>
      <c r="AD51">
        <f t="shared" si="42"/>
        <v>0</v>
      </c>
      <c r="AE51">
        <f t="shared" si="43"/>
        <v>0</v>
      </c>
      <c r="AF51">
        <f t="shared" si="44"/>
        <v>1</v>
      </c>
      <c r="AH51">
        <f t="shared" si="45"/>
        <v>0</v>
      </c>
      <c r="AI51">
        <f t="shared" si="46"/>
        <v>0</v>
      </c>
      <c r="AJ51">
        <f t="shared" si="47"/>
        <v>0</v>
      </c>
      <c r="AK51">
        <f t="shared" si="48"/>
        <v>1</v>
      </c>
      <c r="AM51">
        <f t="shared" si="49"/>
        <v>0</v>
      </c>
      <c r="AN51">
        <f t="shared" si="50"/>
        <v>0</v>
      </c>
      <c r="AO51">
        <f t="shared" si="51"/>
        <v>0</v>
      </c>
      <c r="AP51">
        <f t="shared" si="52"/>
        <v>1</v>
      </c>
    </row>
    <row r="52" spans="2:42" x14ac:dyDescent="0.25">
      <c r="B52" s="9" t="s">
        <v>22</v>
      </c>
      <c r="C52" s="3">
        <v>12</v>
      </c>
      <c r="D52" s="3">
        <v>4</v>
      </c>
      <c r="F52">
        <f>INDEX(Basis!$C$2:$BJ$19,MATCH($C52,Basis!$B$2:$B$19,0),MATCH(F$37,Basis!$C$1:$BJ$1,0))</f>
        <v>1</v>
      </c>
      <c r="G52" s="3"/>
      <c r="H52" s="3">
        <f t="shared" si="34"/>
        <v>0</v>
      </c>
      <c r="I52" s="11">
        <f t="shared" si="31"/>
        <v>0</v>
      </c>
      <c r="K52" s="9" t="s">
        <v>22</v>
      </c>
      <c r="L52" s="3">
        <f t="shared" si="32"/>
        <v>12</v>
      </c>
      <c r="M52" s="3">
        <f t="shared" si="33"/>
        <v>4</v>
      </c>
      <c r="O52">
        <f>INDEX(Basis!$C$2:$BJ$19,MATCH($C52,Basis!$B$2:$B$19,0),MATCH(O$37,Basis!$C$1:$BJ$1,0))</f>
        <v>1</v>
      </c>
      <c r="P52" s="3"/>
      <c r="Q52" s="3">
        <f t="shared" si="35"/>
        <v>0</v>
      </c>
      <c r="R52" s="11">
        <f t="shared" si="36"/>
        <v>0</v>
      </c>
      <c r="T52" s="9" t="s">
        <v>22</v>
      </c>
      <c r="U52" s="3">
        <f t="shared" si="37"/>
        <v>12</v>
      </c>
      <c r="V52" s="3">
        <f t="shared" si="38"/>
        <v>4</v>
      </c>
      <c r="X52">
        <f>INDEX(Basis!$C$2:$BJ$19,MATCH($U52,Basis!$B$2:$B$19,0),MATCH(X$37,Basis!$C$1:$BJ$1,0))</f>
        <v>1</v>
      </c>
      <c r="Y52" s="3"/>
      <c r="Z52" s="3">
        <f t="shared" si="39"/>
        <v>0</v>
      </c>
      <c r="AA52" s="11">
        <f t="shared" si="40"/>
        <v>0</v>
      </c>
      <c r="AC52">
        <f t="shared" si="41"/>
        <v>0</v>
      </c>
      <c r="AD52">
        <f t="shared" si="42"/>
        <v>0</v>
      </c>
      <c r="AE52">
        <f t="shared" si="43"/>
        <v>0</v>
      </c>
      <c r="AF52">
        <f t="shared" si="44"/>
        <v>1</v>
      </c>
      <c r="AH52">
        <f t="shared" si="45"/>
        <v>0</v>
      </c>
      <c r="AI52">
        <f t="shared" si="46"/>
        <v>0</v>
      </c>
      <c r="AJ52">
        <f t="shared" si="47"/>
        <v>0</v>
      </c>
      <c r="AK52">
        <f t="shared" si="48"/>
        <v>1</v>
      </c>
      <c r="AM52">
        <f t="shared" si="49"/>
        <v>0</v>
      </c>
      <c r="AN52">
        <f t="shared" si="50"/>
        <v>0</v>
      </c>
      <c r="AO52">
        <f t="shared" si="51"/>
        <v>0</v>
      </c>
      <c r="AP52">
        <f t="shared" si="52"/>
        <v>1</v>
      </c>
    </row>
    <row r="53" spans="2:42" x14ac:dyDescent="0.25">
      <c r="B53" s="9" t="s">
        <v>23</v>
      </c>
      <c r="C53" s="3">
        <v>10</v>
      </c>
      <c r="D53" s="3">
        <v>5</v>
      </c>
      <c r="F53">
        <f>INDEX(Basis!$C$2:$BJ$19,MATCH($C53,Basis!$B$2:$B$19,0),MATCH(F$37,Basis!$C$1:$BJ$1,0))</f>
        <v>1</v>
      </c>
      <c r="G53" s="3"/>
      <c r="H53" s="3">
        <f t="shared" si="34"/>
        <v>0</v>
      </c>
      <c r="I53" s="11">
        <f t="shared" si="31"/>
        <v>0</v>
      </c>
      <c r="K53" s="9" t="s">
        <v>23</v>
      </c>
      <c r="L53" s="3">
        <f t="shared" si="32"/>
        <v>10</v>
      </c>
      <c r="M53" s="3">
        <f t="shared" si="33"/>
        <v>5</v>
      </c>
      <c r="O53">
        <f>INDEX(Basis!$C$2:$BJ$19,MATCH($C53,Basis!$B$2:$B$19,0),MATCH(O$37,Basis!$C$1:$BJ$1,0))</f>
        <v>1</v>
      </c>
      <c r="P53" s="3"/>
      <c r="Q53" s="3">
        <f t="shared" si="35"/>
        <v>0</v>
      </c>
      <c r="R53" s="11">
        <f t="shared" si="36"/>
        <v>0</v>
      </c>
      <c r="T53" s="9" t="s">
        <v>23</v>
      </c>
      <c r="U53" s="3">
        <f t="shared" si="37"/>
        <v>10</v>
      </c>
      <c r="V53" s="3">
        <f t="shared" si="38"/>
        <v>5</v>
      </c>
      <c r="X53">
        <f>INDEX(Basis!$C$2:$BJ$19,MATCH($U53,Basis!$B$2:$B$19,0),MATCH(X$37,Basis!$C$1:$BJ$1,0))</f>
        <v>1</v>
      </c>
      <c r="Y53" s="3"/>
      <c r="Z53" s="3">
        <f t="shared" si="39"/>
        <v>0</v>
      </c>
      <c r="AA53" s="11">
        <f t="shared" si="40"/>
        <v>0</v>
      </c>
      <c r="AC53">
        <f t="shared" si="41"/>
        <v>0</v>
      </c>
      <c r="AD53">
        <f t="shared" si="42"/>
        <v>0</v>
      </c>
      <c r="AE53">
        <f t="shared" si="43"/>
        <v>0</v>
      </c>
      <c r="AF53">
        <f t="shared" si="44"/>
        <v>1</v>
      </c>
      <c r="AH53">
        <f t="shared" si="45"/>
        <v>0</v>
      </c>
      <c r="AI53">
        <f t="shared" si="46"/>
        <v>0</v>
      </c>
      <c r="AJ53">
        <f t="shared" si="47"/>
        <v>0</v>
      </c>
      <c r="AK53">
        <f t="shared" si="48"/>
        <v>1</v>
      </c>
      <c r="AM53">
        <f t="shared" si="49"/>
        <v>0</v>
      </c>
      <c r="AN53">
        <f t="shared" si="50"/>
        <v>0</v>
      </c>
      <c r="AO53">
        <f t="shared" si="51"/>
        <v>0</v>
      </c>
      <c r="AP53">
        <f t="shared" si="52"/>
        <v>1</v>
      </c>
    </row>
    <row r="54" spans="2:42" x14ac:dyDescent="0.25">
      <c r="B54" s="9" t="s">
        <v>24</v>
      </c>
      <c r="C54" s="3">
        <v>14</v>
      </c>
      <c r="D54" s="3">
        <v>4</v>
      </c>
      <c r="F54">
        <f>INDEX(Basis!$C$2:$BJ$19,MATCH($C54,Basis!$B$2:$B$19,0),MATCH(F$37,Basis!$C$1:$BJ$1,0))</f>
        <v>1</v>
      </c>
      <c r="G54" s="3"/>
      <c r="H54" s="3">
        <f t="shared" si="34"/>
        <v>0</v>
      </c>
      <c r="I54" s="11">
        <f t="shared" si="31"/>
        <v>0</v>
      </c>
      <c r="K54" s="9" t="s">
        <v>24</v>
      </c>
      <c r="L54" s="3">
        <f t="shared" si="32"/>
        <v>14</v>
      </c>
      <c r="M54" s="3">
        <f t="shared" si="33"/>
        <v>4</v>
      </c>
      <c r="O54">
        <f>INDEX(Basis!$C$2:$BJ$19,MATCH($C54,Basis!$B$2:$B$19,0),MATCH(O$37,Basis!$C$1:$BJ$1,0))</f>
        <v>1</v>
      </c>
      <c r="P54" s="3"/>
      <c r="Q54" s="3">
        <f t="shared" si="35"/>
        <v>0</v>
      </c>
      <c r="R54" s="11">
        <f t="shared" si="36"/>
        <v>0</v>
      </c>
      <c r="T54" s="9" t="s">
        <v>24</v>
      </c>
      <c r="U54" s="3">
        <f t="shared" si="37"/>
        <v>14</v>
      </c>
      <c r="V54" s="3">
        <f t="shared" si="38"/>
        <v>4</v>
      </c>
      <c r="X54">
        <f>INDEX(Basis!$C$2:$BJ$19,MATCH($U54,Basis!$B$2:$B$19,0),MATCH(X$37,Basis!$C$1:$BJ$1,0))</f>
        <v>1</v>
      </c>
      <c r="Y54" s="3"/>
      <c r="Z54" s="3">
        <f t="shared" si="39"/>
        <v>0</v>
      </c>
      <c r="AA54" s="11">
        <f t="shared" si="40"/>
        <v>0</v>
      </c>
      <c r="AC54">
        <f t="shared" si="41"/>
        <v>0</v>
      </c>
      <c r="AD54">
        <f t="shared" si="42"/>
        <v>0</v>
      </c>
      <c r="AE54">
        <f t="shared" si="43"/>
        <v>0</v>
      </c>
      <c r="AF54">
        <f t="shared" si="44"/>
        <v>1</v>
      </c>
      <c r="AH54">
        <f t="shared" si="45"/>
        <v>0</v>
      </c>
      <c r="AI54">
        <f t="shared" si="46"/>
        <v>0</v>
      </c>
      <c r="AJ54">
        <f t="shared" si="47"/>
        <v>0</v>
      </c>
      <c r="AK54">
        <f t="shared" si="48"/>
        <v>1</v>
      </c>
      <c r="AM54">
        <f t="shared" si="49"/>
        <v>0</v>
      </c>
      <c r="AN54">
        <f t="shared" si="50"/>
        <v>0</v>
      </c>
      <c r="AO54">
        <f t="shared" si="51"/>
        <v>0</v>
      </c>
      <c r="AP54">
        <f t="shared" si="52"/>
        <v>1</v>
      </c>
    </row>
    <row r="55" spans="2:42" x14ac:dyDescent="0.25">
      <c r="B55" s="9" t="s">
        <v>25</v>
      </c>
      <c r="C55" s="3">
        <v>16</v>
      </c>
      <c r="D55" s="3">
        <v>3</v>
      </c>
      <c r="F55">
        <f>INDEX(Basis!$C$2:$BJ$19,MATCH($C55,Basis!$B$2:$B$19,0),MATCH(F$37,Basis!$C$1:$BJ$1,0))</f>
        <v>1</v>
      </c>
      <c r="G55" s="3"/>
      <c r="H55" s="3">
        <f t="shared" si="34"/>
        <v>0</v>
      </c>
      <c r="I55" s="11">
        <f t="shared" si="31"/>
        <v>0</v>
      </c>
      <c r="K55" s="9" t="s">
        <v>25</v>
      </c>
      <c r="L55" s="3">
        <f t="shared" si="32"/>
        <v>16</v>
      </c>
      <c r="M55" s="3">
        <f t="shared" si="33"/>
        <v>3</v>
      </c>
      <c r="O55">
        <f>INDEX(Basis!$C$2:$BJ$19,MATCH($C55,Basis!$B$2:$B$19,0),MATCH(O$37,Basis!$C$1:$BJ$1,0))</f>
        <v>1</v>
      </c>
      <c r="P55" s="3"/>
      <c r="Q55" s="3">
        <f t="shared" si="35"/>
        <v>0</v>
      </c>
      <c r="R55" s="11">
        <f t="shared" si="36"/>
        <v>0</v>
      </c>
      <c r="T55" s="9" t="s">
        <v>25</v>
      </c>
      <c r="U55" s="3">
        <f t="shared" si="37"/>
        <v>16</v>
      </c>
      <c r="V55" s="3">
        <f t="shared" si="38"/>
        <v>3</v>
      </c>
      <c r="X55">
        <f>INDEX(Basis!$C$2:$BJ$19,MATCH($U55,Basis!$B$2:$B$19,0),MATCH(X$37,Basis!$C$1:$BJ$1,0))</f>
        <v>1</v>
      </c>
      <c r="Y55" s="3"/>
      <c r="Z55" s="3">
        <f t="shared" si="39"/>
        <v>0</v>
      </c>
      <c r="AA55" s="11">
        <f t="shared" si="40"/>
        <v>0</v>
      </c>
      <c r="AC55">
        <f t="shared" si="41"/>
        <v>0</v>
      </c>
      <c r="AD55">
        <f t="shared" si="42"/>
        <v>0</v>
      </c>
      <c r="AE55">
        <f t="shared" si="43"/>
        <v>0</v>
      </c>
      <c r="AF55">
        <f t="shared" si="44"/>
        <v>1</v>
      </c>
      <c r="AH55">
        <f t="shared" si="45"/>
        <v>0</v>
      </c>
      <c r="AI55">
        <f t="shared" si="46"/>
        <v>0</v>
      </c>
      <c r="AJ55">
        <f t="shared" si="47"/>
        <v>0</v>
      </c>
      <c r="AK55">
        <f t="shared" si="48"/>
        <v>1</v>
      </c>
      <c r="AM55">
        <f t="shared" si="49"/>
        <v>0</v>
      </c>
      <c r="AN55">
        <f t="shared" si="50"/>
        <v>0</v>
      </c>
      <c r="AO55">
        <f t="shared" si="51"/>
        <v>0</v>
      </c>
      <c r="AP55">
        <f t="shared" si="52"/>
        <v>1</v>
      </c>
    </row>
    <row r="56" spans="2:42" x14ac:dyDescent="0.25">
      <c r="B56" s="9" t="s">
        <v>26</v>
      </c>
      <c r="C56" s="3">
        <v>6</v>
      </c>
      <c r="D56" s="3">
        <v>5</v>
      </c>
      <c r="F56">
        <f>INDEX(Basis!$C$2:$BJ$19,MATCH($C56,Basis!$B$2:$B$19,0),MATCH(F$37,Basis!$C$1:$BJ$1,0))</f>
        <v>1</v>
      </c>
      <c r="G56" s="3"/>
      <c r="H56" s="3">
        <f t="shared" si="34"/>
        <v>0</v>
      </c>
      <c r="I56" s="11">
        <f t="shared" si="31"/>
        <v>0</v>
      </c>
      <c r="K56" s="9" t="s">
        <v>26</v>
      </c>
      <c r="L56" s="3">
        <f t="shared" si="32"/>
        <v>6</v>
      </c>
      <c r="M56" s="3">
        <f t="shared" si="33"/>
        <v>5</v>
      </c>
      <c r="O56">
        <f>INDEX(Basis!$C$2:$BJ$19,MATCH($C56,Basis!$B$2:$B$19,0),MATCH(O$37,Basis!$C$1:$BJ$1,0))</f>
        <v>1</v>
      </c>
      <c r="P56" s="3"/>
      <c r="Q56" s="3">
        <f t="shared" si="35"/>
        <v>0</v>
      </c>
      <c r="R56" s="11">
        <f t="shared" si="36"/>
        <v>0</v>
      </c>
      <c r="T56" s="9" t="s">
        <v>26</v>
      </c>
      <c r="U56" s="3">
        <f t="shared" si="37"/>
        <v>6</v>
      </c>
      <c r="V56" s="3">
        <f t="shared" si="38"/>
        <v>5</v>
      </c>
      <c r="X56">
        <f>INDEX(Basis!$C$2:$BJ$19,MATCH($U56,Basis!$B$2:$B$19,0),MATCH(X$37,Basis!$C$1:$BJ$1,0))</f>
        <v>2</v>
      </c>
      <c r="Y56" s="3"/>
      <c r="Z56" s="3">
        <f t="shared" si="39"/>
        <v>0</v>
      </c>
      <c r="AA56" s="11">
        <f t="shared" si="40"/>
        <v>0</v>
      </c>
      <c r="AC56">
        <f t="shared" si="41"/>
        <v>0</v>
      </c>
      <c r="AD56">
        <f t="shared" si="42"/>
        <v>0</v>
      </c>
      <c r="AE56">
        <f t="shared" si="43"/>
        <v>0</v>
      </c>
      <c r="AF56">
        <f t="shared" si="44"/>
        <v>1</v>
      </c>
      <c r="AH56">
        <f t="shared" si="45"/>
        <v>0</v>
      </c>
      <c r="AI56">
        <f t="shared" si="46"/>
        <v>0</v>
      </c>
      <c r="AJ56">
        <f t="shared" si="47"/>
        <v>0</v>
      </c>
      <c r="AK56">
        <f t="shared" si="48"/>
        <v>1</v>
      </c>
      <c r="AM56">
        <f t="shared" si="49"/>
        <v>0</v>
      </c>
      <c r="AN56">
        <f t="shared" si="50"/>
        <v>0</v>
      </c>
      <c r="AO56">
        <f t="shared" si="51"/>
        <v>0</v>
      </c>
      <c r="AP56">
        <f t="shared" si="52"/>
        <v>1</v>
      </c>
    </row>
    <row r="57" spans="2:42" x14ac:dyDescent="0.25">
      <c r="B57" s="9" t="s">
        <v>27</v>
      </c>
      <c r="C57" s="3">
        <v>4</v>
      </c>
      <c r="D57" s="3">
        <v>3</v>
      </c>
      <c r="F57">
        <f>INDEX(Basis!$C$2:$BJ$19,MATCH($C57,Basis!$B$2:$B$19,0),MATCH(F$37,Basis!$C$1:$BJ$1,0))</f>
        <v>1</v>
      </c>
      <c r="G57" s="3"/>
      <c r="H57" s="3">
        <f t="shared" si="34"/>
        <v>0</v>
      </c>
      <c r="I57" s="11">
        <f t="shared" si="31"/>
        <v>0</v>
      </c>
      <c r="K57" s="9" t="s">
        <v>27</v>
      </c>
      <c r="L57" s="3">
        <f t="shared" si="32"/>
        <v>4</v>
      </c>
      <c r="M57" s="3">
        <f t="shared" si="33"/>
        <v>3</v>
      </c>
      <c r="O57">
        <f>INDEX(Basis!$C$2:$BJ$19,MATCH($C57,Basis!$B$2:$B$19,0),MATCH(O$37,Basis!$C$1:$BJ$1,0))</f>
        <v>1</v>
      </c>
      <c r="P57" s="3"/>
      <c r="Q57" s="3">
        <f t="shared" si="35"/>
        <v>0</v>
      </c>
      <c r="R57" s="11">
        <f t="shared" si="36"/>
        <v>0</v>
      </c>
      <c r="T57" s="9" t="s">
        <v>27</v>
      </c>
      <c r="U57" s="3">
        <f t="shared" si="37"/>
        <v>4</v>
      </c>
      <c r="V57" s="3">
        <f t="shared" si="38"/>
        <v>3</v>
      </c>
      <c r="X57">
        <f>INDEX(Basis!$C$2:$BJ$19,MATCH($U57,Basis!$B$2:$B$19,0),MATCH(X$37,Basis!$C$1:$BJ$1,0))</f>
        <v>2</v>
      </c>
      <c r="Y57" s="3"/>
      <c r="Z57" s="3">
        <f t="shared" si="39"/>
        <v>0</v>
      </c>
      <c r="AA57" s="11">
        <f t="shared" si="40"/>
        <v>0</v>
      </c>
      <c r="AC57">
        <f t="shared" si="41"/>
        <v>0</v>
      </c>
      <c r="AD57">
        <f t="shared" si="42"/>
        <v>0</v>
      </c>
      <c r="AE57">
        <f t="shared" si="43"/>
        <v>0</v>
      </c>
      <c r="AF57">
        <f t="shared" si="44"/>
        <v>1</v>
      </c>
      <c r="AH57">
        <f t="shared" si="45"/>
        <v>0</v>
      </c>
      <c r="AI57">
        <f t="shared" si="46"/>
        <v>0</v>
      </c>
      <c r="AJ57">
        <f t="shared" si="47"/>
        <v>0</v>
      </c>
      <c r="AK57">
        <f t="shared" si="48"/>
        <v>1</v>
      </c>
      <c r="AM57">
        <f t="shared" si="49"/>
        <v>0</v>
      </c>
      <c r="AN57">
        <f t="shared" si="50"/>
        <v>0</v>
      </c>
      <c r="AO57">
        <f t="shared" si="51"/>
        <v>0</v>
      </c>
      <c r="AP57">
        <f t="shared" si="52"/>
        <v>1</v>
      </c>
    </row>
    <row r="58" spans="2:42" x14ac:dyDescent="0.25">
      <c r="B58" s="9" t="s">
        <v>28</v>
      </c>
      <c r="C58" s="3">
        <v>2</v>
      </c>
      <c r="D58" s="3">
        <v>4</v>
      </c>
      <c r="F58">
        <f>INDEX(Basis!$C$2:$BJ$19,MATCH($C58,Basis!$B$2:$B$19,0),MATCH(F$37,Basis!$C$1:$BJ$1,0))</f>
        <v>1</v>
      </c>
      <c r="G58" s="3"/>
      <c r="H58" s="3">
        <f t="shared" si="34"/>
        <v>0</v>
      </c>
      <c r="I58" s="11">
        <f t="shared" si="31"/>
        <v>0</v>
      </c>
      <c r="K58" s="9" t="s">
        <v>28</v>
      </c>
      <c r="L58" s="3">
        <f t="shared" si="32"/>
        <v>2</v>
      </c>
      <c r="M58" s="3">
        <f t="shared" si="33"/>
        <v>4</v>
      </c>
      <c r="O58">
        <f>INDEX(Basis!$C$2:$BJ$19,MATCH($C58,Basis!$B$2:$B$19,0),MATCH(O$37,Basis!$C$1:$BJ$1,0))</f>
        <v>2</v>
      </c>
      <c r="P58" s="3"/>
      <c r="Q58" s="3">
        <f t="shared" si="35"/>
        <v>0</v>
      </c>
      <c r="R58" s="11">
        <f t="shared" si="36"/>
        <v>0</v>
      </c>
      <c r="T58" s="9" t="s">
        <v>28</v>
      </c>
      <c r="U58" s="3">
        <f t="shared" si="37"/>
        <v>2</v>
      </c>
      <c r="V58" s="3">
        <f t="shared" si="38"/>
        <v>4</v>
      </c>
      <c r="X58">
        <f>INDEX(Basis!$C$2:$BJ$19,MATCH($U58,Basis!$B$2:$B$19,0),MATCH(X$37,Basis!$C$1:$BJ$1,0))</f>
        <v>2</v>
      </c>
      <c r="Y58" s="3"/>
      <c r="Z58" s="3">
        <f t="shared" si="39"/>
        <v>0</v>
      </c>
      <c r="AA58" s="11">
        <f t="shared" si="40"/>
        <v>0</v>
      </c>
      <c r="AC58">
        <f t="shared" si="41"/>
        <v>0</v>
      </c>
      <c r="AD58">
        <f t="shared" si="42"/>
        <v>0</v>
      </c>
      <c r="AE58">
        <f t="shared" si="43"/>
        <v>0</v>
      </c>
      <c r="AF58">
        <f t="shared" si="44"/>
        <v>1</v>
      </c>
      <c r="AH58">
        <f t="shared" si="45"/>
        <v>0</v>
      </c>
      <c r="AI58">
        <f t="shared" si="46"/>
        <v>0</v>
      </c>
      <c r="AJ58">
        <f t="shared" si="47"/>
        <v>0</v>
      </c>
      <c r="AK58">
        <f t="shared" si="48"/>
        <v>1</v>
      </c>
      <c r="AM58">
        <f t="shared" si="49"/>
        <v>0</v>
      </c>
      <c r="AN58">
        <f t="shared" si="50"/>
        <v>0</v>
      </c>
      <c r="AO58">
        <f t="shared" si="51"/>
        <v>0</v>
      </c>
      <c r="AP58">
        <f t="shared" si="52"/>
        <v>1</v>
      </c>
    </row>
    <row r="59" spans="2:42" x14ac:dyDescent="0.25">
      <c r="B59" s="9" t="s">
        <v>29</v>
      </c>
      <c r="C59" s="3">
        <v>18</v>
      </c>
      <c r="D59" s="3">
        <v>5</v>
      </c>
      <c r="F59">
        <f>INDEX(Basis!$C$2:$BJ$19,MATCH($C59,Basis!$B$2:$B$19,0),MATCH(F$37,Basis!$C$1:$BJ$1,0))</f>
        <v>0</v>
      </c>
      <c r="G59" s="3"/>
      <c r="H59" s="3">
        <f t="shared" si="34"/>
        <v>0</v>
      </c>
      <c r="I59" s="11">
        <f t="shared" si="31"/>
        <v>0</v>
      </c>
      <c r="K59" s="9" t="s">
        <v>29</v>
      </c>
      <c r="L59" s="3">
        <f t="shared" si="32"/>
        <v>18</v>
      </c>
      <c r="M59" s="3">
        <f t="shared" si="33"/>
        <v>5</v>
      </c>
      <c r="O59">
        <f>INDEX(Basis!$C$2:$BJ$19,MATCH($C59,Basis!$B$2:$B$19,0),MATCH(O$37,Basis!$C$1:$BJ$1,0))</f>
        <v>1</v>
      </c>
      <c r="P59" s="3"/>
      <c r="Q59" s="3">
        <f t="shared" si="35"/>
        <v>0</v>
      </c>
      <c r="R59" s="11">
        <f t="shared" si="36"/>
        <v>0</v>
      </c>
      <c r="T59" s="9" t="s">
        <v>29</v>
      </c>
      <c r="U59" s="3">
        <f t="shared" si="37"/>
        <v>18</v>
      </c>
      <c r="V59" s="3">
        <f t="shared" si="38"/>
        <v>5</v>
      </c>
      <c r="X59">
        <f>INDEX(Basis!$C$2:$BJ$19,MATCH($U59,Basis!$B$2:$B$19,0),MATCH(X$37,Basis!$C$1:$BJ$1,0))</f>
        <v>1</v>
      </c>
      <c r="Y59" s="3"/>
      <c r="Z59" s="3">
        <f t="shared" si="39"/>
        <v>0</v>
      </c>
      <c r="AA59" s="11">
        <f t="shared" si="40"/>
        <v>0</v>
      </c>
      <c r="AC59">
        <f t="shared" si="41"/>
        <v>0</v>
      </c>
      <c r="AD59">
        <f t="shared" si="42"/>
        <v>0</v>
      </c>
      <c r="AE59">
        <f t="shared" si="43"/>
        <v>0</v>
      </c>
      <c r="AF59">
        <f t="shared" si="44"/>
        <v>1</v>
      </c>
      <c r="AH59">
        <f t="shared" si="45"/>
        <v>0</v>
      </c>
      <c r="AI59">
        <f t="shared" si="46"/>
        <v>0</v>
      </c>
      <c r="AJ59">
        <f t="shared" si="47"/>
        <v>0</v>
      </c>
      <c r="AK59">
        <f t="shared" si="48"/>
        <v>1</v>
      </c>
      <c r="AM59">
        <f t="shared" si="49"/>
        <v>0</v>
      </c>
      <c r="AN59">
        <f t="shared" si="50"/>
        <v>0</v>
      </c>
      <c r="AO59">
        <f t="shared" si="51"/>
        <v>0</v>
      </c>
      <c r="AP59">
        <f t="shared" si="52"/>
        <v>1</v>
      </c>
    </row>
    <row r="60" spans="2:42" x14ac:dyDescent="0.25">
      <c r="B60" s="9" t="s">
        <v>30</v>
      </c>
      <c r="C60" s="3">
        <v>8</v>
      </c>
      <c r="D60" s="3">
        <v>4</v>
      </c>
      <c r="F60">
        <f>INDEX(Basis!$C$2:$BJ$19,MATCH($C60,Basis!$B$2:$B$19,0),MATCH(F$37,Basis!$C$1:$BJ$1,0))</f>
        <v>1</v>
      </c>
      <c r="G60" s="3"/>
      <c r="H60" s="3">
        <f t="shared" si="34"/>
        <v>0</v>
      </c>
      <c r="I60" s="11">
        <f t="shared" si="31"/>
        <v>0</v>
      </c>
      <c r="K60" s="9" t="s">
        <v>30</v>
      </c>
      <c r="L60" s="3">
        <f t="shared" si="32"/>
        <v>8</v>
      </c>
      <c r="M60" s="3">
        <f t="shared" si="33"/>
        <v>4</v>
      </c>
      <c r="O60">
        <f>INDEX(Basis!$C$2:$BJ$19,MATCH($C60,Basis!$B$2:$B$19,0),MATCH(O$37,Basis!$C$1:$BJ$1,0))</f>
        <v>1</v>
      </c>
      <c r="P60" s="3"/>
      <c r="Q60" s="3">
        <f t="shared" si="35"/>
        <v>0</v>
      </c>
      <c r="R60" s="11">
        <f t="shared" si="36"/>
        <v>0</v>
      </c>
      <c r="T60" s="9" t="s">
        <v>30</v>
      </c>
      <c r="U60" s="3">
        <f t="shared" si="37"/>
        <v>8</v>
      </c>
      <c r="V60" s="3">
        <f t="shared" si="38"/>
        <v>4</v>
      </c>
      <c r="X60">
        <f>INDEX(Basis!$C$2:$BJ$19,MATCH($U60,Basis!$B$2:$B$19,0),MATCH(X$37,Basis!$C$1:$BJ$1,0))</f>
        <v>2</v>
      </c>
      <c r="Y60" s="3"/>
      <c r="Z60" s="3">
        <f t="shared" si="39"/>
        <v>0</v>
      </c>
      <c r="AA60" s="11">
        <f t="shared" si="40"/>
        <v>0</v>
      </c>
      <c r="AC60">
        <f t="shared" si="41"/>
        <v>0</v>
      </c>
      <c r="AD60">
        <f t="shared" si="42"/>
        <v>0</v>
      </c>
      <c r="AE60">
        <f t="shared" si="43"/>
        <v>0</v>
      </c>
      <c r="AF60">
        <f t="shared" si="44"/>
        <v>1</v>
      </c>
      <c r="AH60">
        <f t="shared" si="45"/>
        <v>0</v>
      </c>
      <c r="AI60">
        <f t="shared" si="46"/>
        <v>0</v>
      </c>
      <c r="AJ60">
        <f t="shared" si="47"/>
        <v>0</v>
      </c>
      <c r="AK60">
        <f t="shared" si="48"/>
        <v>1</v>
      </c>
      <c r="AM60">
        <f t="shared" si="49"/>
        <v>0</v>
      </c>
      <c r="AN60">
        <f t="shared" si="50"/>
        <v>0</v>
      </c>
      <c r="AO60">
        <f t="shared" si="51"/>
        <v>0</v>
      </c>
      <c r="AP60">
        <f t="shared" si="52"/>
        <v>1</v>
      </c>
    </row>
    <row r="61" spans="2:42" x14ac:dyDescent="0.25">
      <c r="B61" s="9"/>
      <c r="C61" s="3"/>
      <c r="D61" s="3"/>
      <c r="G61" s="3"/>
      <c r="H61" s="3"/>
      <c r="I61" s="11"/>
      <c r="K61" s="9"/>
      <c r="L61" s="3"/>
      <c r="M61" s="3"/>
      <c r="P61" s="3"/>
      <c r="Q61" s="3"/>
      <c r="R61" s="11"/>
      <c r="T61" s="9"/>
      <c r="U61" s="3"/>
      <c r="V61" s="3"/>
      <c r="Y61" s="3"/>
      <c r="Z61" s="3"/>
      <c r="AA61" s="11"/>
    </row>
    <row r="62" spans="2:42" x14ac:dyDescent="0.25">
      <c r="B62" s="16" t="s">
        <v>31</v>
      </c>
      <c r="C62" s="17"/>
      <c r="D62" s="17"/>
      <c r="E62" s="18"/>
      <c r="F62" s="18"/>
      <c r="G62" s="17">
        <f>SUM(G43:G51)</f>
        <v>0</v>
      </c>
      <c r="H62" s="17">
        <f>SUM(H43:H51)</f>
        <v>0</v>
      </c>
      <c r="I62" s="19">
        <f>SUM(I43:I51)</f>
        <v>0</v>
      </c>
      <c r="K62" s="16" t="s">
        <v>31</v>
      </c>
      <c r="L62" s="17"/>
      <c r="M62" s="17"/>
      <c r="N62" s="18"/>
      <c r="O62" s="18"/>
      <c r="P62" s="17">
        <f>SUM(P43:P51)</f>
        <v>0</v>
      </c>
      <c r="Q62" s="17">
        <f>SUM(Q43:Q51)</f>
        <v>0</v>
      </c>
      <c r="R62" s="19">
        <f>SUM(R43:R51)</f>
        <v>0</v>
      </c>
      <c r="T62" s="16" t="s">
        <v>31</v>
      </c>
      <c r="U62" s="17"/>
      <c r="V62" s="17"/>
      <c r="W62" s="18"/>
      <c r="X62" s="18"/>
      <c r="Y62" s="17">
        <f>SUM(Y43:Y51)</f>
        <v>0</v>
      </c>
      <c r="Z62" s="17">
        <f>SUM(Z43:Z51)</f>
        <v>0</v>
      </c>
      <c r="AA62" s="19">
        <f>SUM(AA43:AA51)</f>
        <v>0</v>
      </c>
      <c r="AC62" s="19">
        <f t="shared" ref="AC62:AF62" si="53">SUM(AC43:AC51)</f>
        <v>0</v>
      </c>
      <c r="AD62" s="19">
        <f t="shared" si="53"/>
        <v>0</v>
      </c>
      <c r="AE62" s="19">
        <f t="shared" si="53"/>
        <v>0</v>
      </c>
      <c r="AF62" s="19">
        <f t="shared" si="53"/>
        <v>9</v>
      </c>
      <c r="AH62" s="19">
        <f t="shared" ref="AH62:AK62" si="54">SUM(AH43:AH51)</f>
        <v>0</v>
      </c>
      <c r="AI62" s="19">
        <f t="shared" si="54"/>
        <v>0</v>
      </c>
      <c r="AJ62" s="19">
        <f t="shared" si="54"/>
        <v>0</v>
      </c>
      <c r="AK62" s="19">
        <f t="shared" si="54"/>
        <v>9</v>
      </c>
      <c r="AM62" s="19">
        <f t="shared" ref="AM62:AP62" si="55">SUM(AM43:AM51)</f>
        <v>0</v>
      </c>
      <c r="AN62" s="19">
        <f t="shared" si="55"/>
        <v>0</v>
      </c>
      <c r="AO62" s="19">
        <f t="shared" si="55"/>
        <v>0</v>
      </c>
      <c r="AP62" s="19">
        <f t="shared" si="55"/>
        <v>9</v>
      </c>
    </row>
    <row r="63" spans="2:42" x14ac:dyDescent="0.25">
      <c r="B63" s="16" t="s">
        <v>32</v>
      </c>
      <c r="C63" s="18"/>
      <c r="D63" s="18"/>
      <c r="E63" s="18"/>
      <c r="F63" s="18"/>
      <c r="G63" s="17">
        <f>SUM(G52:G60)</f>
        <v>0</v>
      </c>
      <c r="H63" s="17">
        <f>SUM(H52:H60)</f>
        <v>0</v>
      </c>
      <c r="I63" s="19">
        <f>SUM(I52:I60)</f>
        <v>0</v>
      </c>
      <c r="K63" s="16" t="s">
        <v>32</v>
      </c>
      <c r="L63" s="18"/>
      <c r="M63" s="18"/>
      <c r="N63" s="18"/>
      <c r="O63" s="18"/>
      <c r="P63" s="17">
        <f>SUM(P52:P60)</f>
        <v>0</v>
      </c>
      <c r="Q63" s="17">
        <f>SUM(Q52:Q60)</f>
        <v>0</v>
      </c>
      <c r="R63" s="19">
        <f>SUM(R52:R60)</f>
        <v>0</v>
      </c>
      <c r="T63" s="16" t="s">
        <v>32</v>
      </c>
      <c r="U63" s="18"/>
      <c r="V63" s="18"/>
      <c r="W63" s="18"/>
      <c r="X63" s="18"/>
      <c r="Y63" s="17">
        <f>SUM(Y52:Y60)</f>
        <v>0</v>
      </c>
      <c r="Z63" s="17">
        <f>SUM(Z52:Z60)</f>
        <v>0</v>
      </c>
      <c r="AA63" s="19">
        <f>SUM(AA52:AA60)</f>
        <v>0</v>
      </c>
      <c r="AC63" s="19">
        <f t="shared" ref="AC63:AF63" si="56">SUM(AC52:AC60)</f>
        <v>0</v>
      </c>
      <c r="AD63" s="19">
        <f t="shared" si="56"/>
        <v>0</v>
      </c>
      <c r="AE63" s="19">
        <f t="shared" si="56"/>
        <v>0</v>
      </c>
      <c r="AF63" s="19">
        <f t="shared" si="56"/>
        <v>9</v>
      </c>
      <c r="AH63" s="19">
        <f t="shared" ref="AH63:AK63" si="57">SUM(AH52:AH60)</f>
        <v>0</v>
      </c>
      <c r="AI63" s="19">
        <f t="shared" si="57"/>
        <v>0</v>
      </c>
      <c r="AJ63" s="19">
        <f t="shared" si="57"/>
        <v>0</v>
      </c>
      <c r="AK63" s="19">
        <f t="shared" si="57"/>
        <v>9</v>
      </c>
      <c r="AM63" s="19">
        <f t="shared" ref="AM63:AP63" si="58">SUM(AM52:AM60)</f>
        <v>0</v>
      </c>
      <c r="AN63" s="19">
        <f t="shared" si="58"/>
        <v>0</v>
      </c>
      <c r="AO63" s="19">
        <f t="shared" si="58"/>
        <v>0</v>
      </c>
      <c r="AP63" s="19">
        <f t="shared" si="58"/>
        <v>9</v>
      </c>
    </row>
    <row r="64" spans="2:42" x14ac:dyDescent="0.25">
      <c r="B64" s="9"/>
      <c r="F64" s="22">
        <f>SUM(F43:F60)</f>
        <v>17</v>
      </c>
      <c r="G64" s="5">
        <f>SUM(G43:G60)</f>
        <v>0</v>
      </c>
      <c r="H64" s="5">
        <f>SUM(H43:H60)</f>
        <v>0</v>
      </c>
      <c r="I64" s="23">
        <f>SUM(I43:I60)</f>
        <v>0</v>
      </c>
      <c r="K64" s="9"/>
      <c r="O64" s="22">
        <f>SUM(O43:O60)</f>
        <v>21</v>
      </c>
      <c r="P64" s="5">
        <f>SUM(P43:P60)</f>
        <v>0</v>
      </c>
      <c r="Q64" s="5">
        <f>SUM(Q43:Q60)</f>
        <v>0</v>
      </c>
      <c r="R64" s="23">
        <f>SUM(R43:R60)</f>
        <v>0</v>
      </c>
      <c r="T64" s="9"/>
      <c r="X64" s="22">
        <f>SUM(X43:X60)</f>
        <v>27</v>
      </c>
      <c r="Y64" s="5">
        <f>SUM(Y43:Y60)</f>
        <v>0</v>
      </c>
      <c r="Z64" s="5">
        <f>SUM(Z43:Z60)</f>
        <v>0</v>
      </c>
      <c r="AA64" s="23">
        <f>SUM(AA43:AA60)</f>
        <v>0</v>
      </c>
      <c r="AC64" s="5">
        <f t="shared" ref="AC64:AF64" si="59">SUM(AC43:AC60)</f>
        <v>0</v>
      </c>
      <c r="AD64" s="5">
        <f t="shared" si="59"/>
        <v>0</v>
      </c>
      <c r="AE64" s="5">
        <f t="shared" si="59"/>
        <v>0</v>
      </c>
      <c r="AF64" s="5">
        <f t="shared" si="59"/>
        <v>18</v>
      </c>
      <c r="AH64" s="5">
        <f t="shared" ref="AH64:AK64" si="60">SUM(AH43:AH60)</f>
        <v>0</v>
      </c>
      <c r="AI64" s="5">
        <f t="shared" si="60"/>
        <v>0</v>
      </c>
      <c r="AJ64" s="5">
        <f t="shared" si="60"/>
        <v>0</v>
      </c>
      <c r="AK64" s="5">
        <f t="shared" si="60"/>
        <v>18</v>
      </c>
      <c r="AM64" s="5">
        <f t="shared" ref="AM64:AP64" si="61">SUM(AM43:AM60)</f>
        <v>0</v>
      </c>
      <c r="AN64" s="5">
        <f t="shared" si="61"/>
        <v>0</v>
      </c>
      <c r="AO64" s="5">
        <f t="shared" si="61"/>
        <v>0</v>
      </c>
      <c r="AP64" s="5">
        <f t="shared" si="61"/>
        <v>18</v>
      </c>
    </row>
    <row r="65" spans="1:42" ht="15.75" thickBot="1" x14ac:dyDescent="0.3">
      <c r="B65" s="12"/>
      <c r="C65" s="13"/>
      <c r="D65" s="13"/>
      <c r="E65" s="13"/>
      <c r="F65" s="13"/>
      <c r="G65" s="13"/>
      <c r="H65" s="13"/>
      <c r="I65" s="14"/>
      <c r="K65" s="12"/>
      <c r="L65" s="13"/>
      <c r="M65" s="13"/>
      <c r="N65" s="13"/>
      <c r="O65" s="13"/>
      <c r="P65" s="13"/>
      <c r="Q65" s="13"/>
      <c r="R65" s="14"/>
      <c r="T65" s="12"/>
      <c r="U65" s="13"/>
      <c r="V65" s="13"/>
      <c r="W65" s="13"/>
      <c r="X65" s="13"/>
      <c r="Y65" s="13"/>
      <c r="Z65" s="13"/>
      <c r="AA65" s="14"/>
      <c r="AF65" s="24">
        <f>SUM(AC64:AF64)</f>
        <v>18</v>
      </c>
      <c r="AK65" s="24">
        <f>SUM(AH64:AK64)</f>
        <v>18</v>
      </c>
      <c r="AP65" s="24">
        <f>SUM(AM64:AP64)</f>
        <v>18</v>
      </c>
    </row>
    <row r="66" spans="1:42" ht="15.75" thickBot="1" x14ac:dyDescent="0.3"/>
    <row r="67" spans="1:42" ht="19.5" thickBot="1" x14ac:dyDescent="0.35">
      <c r="B67" s="44" t="s">
        <v>38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6"/>
    </row>
    <row r="68" spans="1:42" x14ac:dyDescent="0.25">
      <c r="A68" s="20" t="s">
        <v>0</v>
      </c>
      <c r="B68" s="47" t="s">
        <v>1</v>
      </c>
      <c r="C68" s="48"/>
      <c r="D68" s="48"/>
      <c r="E68" s="48"/>
      <c r="F68" s="48"/>
      <c r="G68" s="48"/>
      <c r="H68" s="48"/>
      <c r="I68" s="49"/>
      <c r="K68" s="47" t="s">
        <v>2</v>
      </c>
      <c r="L68" s="48"/>
      <c r="M68" s="48"/>
      <c r="N68" s="48"/>
      <c r="O68" s="48"/>
      <c r="P68" s="48"/>
      <c r="Q68" s="48"/>
      <c r="R68" s="49"/>
      <c r="T68" s="47" t="s">
        <v>33</v>
      </c>
      <c r="U68" s="48"/>
      <c r="V68" s="48"/>
      <c r="W68" s="48"/>
      <c r="X68" s="48"/>
      <c r="Y68" s="48"/>
      <c r="Z68" s="48"/>
      <c r="AA68" s="49"/>
      <c r="AC68" s="48" t="str">
        <f>B68</f>
        <v>Ludwig</v>
      </c>
      <c r="AD68" s="48"/>
      <c r="AE68" s="48"/>
      <c r="AF68" s="48"/>
      <c r="AH68" s="48" t="str">
        <f>K68</f>
        <v>Andreas</v>
      </c>
      <c r="AI68" s="48"/>
      <c r="AJ68" s="48"/>
      <c r="AK68" s="48"/>
      <c r="AM68" s="48" t="str">
        <f>T68</f>
        <v>Peter</v>
      </c>
      <c r="AN68" s="48"/>
      <c r="AO68" s="48"/>
      <c r="AP68" s="48"/>
    </row>
    <row r="69" spans="1:42" x14ac:dyDescent="0.25">
      <c r="A69" s="21" t="s">
        <v>3</v>
      </c>
      <c r="B69" s="7"/>
      <c r="C69" s="4"/>
      <c r="D69" s="4"/>
      <c r="E69" s="4"/>
      <c r="F69" s="41">
        <f>F3</f>
        <v>17.399999999999999</v>
      </c>
      <c r="G69" s="4"/>
      <c r="H69" s="4"/>
      <c r="I69" s="8"/>
      <c r="J69" s="4"/>
      <c r="K69" s="7"/>
      <c r="L69" s="4"/>
      <c r="M69" s="4"/>
      <c r="N69" s="4"/>
      <c r="O69" s="41">
        <f>O3</f>
        <v>21.3</v>
      </c>
      <c r="P69" s="4"/>
      <c r="Q69" s="4"/>
      <c r="R69" s="8"/>
      <c r="S69" s="4"/>
      <c r="T69" s="7"/>
      <c r="U69" s="4"/>
      <c r="V69" s="4"/>
      <c r="W69" s="4"/>
      <c r="X69" s="41">
        <f>X3</f>
        <v>26.3</v>
      </c>
      <c r="Y69" s="4"/>
      <c r="Z69" s="4"/>
      <c r="AA69" s="8"/>
    </row>
    <row r="70" spans="1:42" x14ac:dyDescent="0.25">
      <c r="A70" s="20" t="s">
        <v>4</v>
      </c>
      <c r="B70" s="9"/>
      <c r="F70" s="6">
        <v>17</v>
      </c>
      <c r="I70" s="10"/>
      <c r="K70" s="9"/>
      <c r="O70" s="6">
        <v>21</v>
      </c>
      <c r="R70" s="10"/>
      <c r="T70" s="9"/>
      <c r="X70" s="6">
        <v>27</v>
      </c>
      <c r="AA70" s="10"/>
    </row>
    <row r="71" spans="1:42" x14ac:dyDescent="0.25">
      <c r="A71" s="15" t="s">
        <v>5</v>
      </c>
      <c r="B71" s="9"/>
      <c r="F71" s="3">
        <f>IF(F69&lt;4.4,1,IF(AND(F69&gt;=4.5,F69&lt;=11.4),2,IF(AND(F69&gt;=11.5,F69&lt;=18.4),3,IF(AND(F69&gt;=18.5,F69&lt;=26.4),4,IF(AND(F69&gt;=26.5,F69&lt;=36),5,IF(F69&gt;=36,6))))))</f>
        <v>3</v>
      </c>
      <c r="I71" s="10"/>
      <c r="K71" s="9"/>
      <c r="O71" s="3">
        <f>IF(O69&lt;4.4,1,IF(AND(O69&gt;=4.5,O69&lt;=11.4),2,IF(AND(O69&gt;=11.5,O69&lt;=18.4),3,IF(AND(O69&gt;=18.5,O69&lt;=26.4),4,IF(AND(O69&gt;=26.5,O69&lt;=36),5,IF(O69&gt;=36,6))))))</f>
        <v>4</v>
      </c>
      <c r="R71" s="10"/>
      <c r="T71" s="9"/>
      <c r="X71" s="3">
        <f>IF(X69&lt;4.4,1,IF(AND(X69&gt;=4.5,X69&lt;=11.4),2,IF(AND(X69&gt;=11.5,X69&lt;=18.4),3,IF(AND(X69&gt;=18.5,X69&lt;=26.4),4,IF(AND(X69&gt;=26.5,X69&lt;=36),5,IF(X69&gt;=36,6))))))</f>
        <v>4</v>
      </c>
      <c r="AA71" s="10"/>
    </row>
    <row r="72" spans="1:42" x14ac:dyDescent="0.25">
      <c r="A72" s="15" t="s">
        <v>6</v>
      </c>
      <c r="B72" s="9"/>
      <c r="F72" s="42">
        <f>VLOOKUP(F71,HCP!$A$6:$C$11,3,FALSE)</f>
        <v>33</v>
      </c>
      <c r="I72" s="10"/>
      <c r="K72" s="9"/>
      <c r="O72" s="42">
        <f>VLOOKUP(O71,HCP!$A$6:$C$11,3,FALSE)</f>
        <v>32</v>
      </c>
      <c r="R72" s="10"/>
      <c r="T72" s="9"/>
      <c r="X72" s="42">
        <f>VLOOKUP(X71,HCP!$A$6:$C$11,3,FALSE)</f>
        <v>32</v>
      </c>
      <c r="AA72" s="10"/>
    </row>
    <row r="73" spans="1:42" x14ac:dyDescent="0.25">
      <c r="A73" s="15"/>
      <c r="B73" s="9"/>
      <c r="F73" s="25" t="str">
        <f>IF(I97&gt;36,"Herabsetzung",IF(AND(I97&lt;=36,I97&gt;=F72),"Puffer","Heraufsetzung"))</f>
        <v>Heraufsetzung</v>
      </c>
      <c r="I73" s="10"/>
      <c r="K73" s="9"/>
      <c r="O73" s="25" t="str">
        <f>IF(R97&gt;36,"Herabsetzung",IF(AND(R97&lt;=36,R97&gt;=O72),"Puffer","Heraufsetzung"))</f>
        <v>Heraufsetzung</v>
      </c>
      <c r="R73" s="10"/>
      <c r="T73" s="9"/>
      <c r="X73" s="25" t="str">
        <f>IF(AA97&gt;36,"Herabsetzung",IF(AND(AA97&lt;=36,AA97&gt;=X72),"Puffer","Heraufsetzung"))</f>
        <v>Heraufsetzung</v>
      </c>
      <c r="AA73" s="10"/>
    </row>
    <row r="74" spans="1:42" x14ac:dyDescent="0.25">
      <c r="A74" s="15" t="s">
        <v>7</v>
      </c>
      <c r="B74" s="9"/>
      <c r="F74" s="42">
        <f>IF(F73="Heraufsetzung",INDEX(HCP!$C$395:$D$755,MATCH(F69,HCP!$C$394:$C$755,0),MATCH($A$8,HCP!$D$394,0)),IF(F73="Puffer",F69,IF(F73="Herabsetzung",INDEX(HCP!$C$29:$AK$389,MATCH(F69,HCP!$C$29:$C$389,0),MATCH(I97,HCP!$C$28:$AK$28,0)))))</f>
        <v>17.5</v>
      </c>
      <c r="I74" s="10"/>
      <c r="K74" s="9"/>
      <c r="O74" s="42">
        <f>IF(O73="Heraufsetzung",INDEX(HCP!$C$395:$D$755,MATCH(O69,HCP!$C$394:$C$755,0),MATCH($A$8,HCP!$D$394,0)),IF(O73="Puffer",O69,IF(O73="Herabsetzung",INDEX(HCP!$C$29:$AK$389,MATCH(O69,HCP!$C$29:$C$389,0),MATCH(R97,HCP!$C$28:$AK$28,0)))))</f>
        <v>21.4</v>
      </c>
      <c r="R74" s="10"/>
      <c r="T74" s="9"/>
      <c r="X74" s="42">
        <f>IF(X73="Heraufsetzung",INDEX(HCP!$C$395:$D$755,MATCH(X69,HCP!$C$394:$C$755,0),MATCH($A$8,HCP!$D$394,0)),IF(X73="Puffer",X69,IF(X73="Herabsetzung",INDEX(HCP!$C$29:$AK$389,MATCH(X69,HCP!$C$29:$C$389,0),MATCH(AA97,HCP!$C$28:$AK$28,0)))))</f>
        <v>26.4</v>
      </c>
      <c r="AA74" s="10"/>
    </row>
    <row r="75" spans="1:42" x14ac:dyDescent="0.25">
      <c r="B75" s="9"/>
      <c r="C75" t="s">
        <v>3</v>
      </c>
      <c r="D75" t="s">
        <v>8</v>
      </c>
      <c r="F75" t="s">
        <v>9</v>
      </c>
      <c r="G75" t="s">
        <v>10</v>
      </c>
      <c r="H75" t="s">
        <v>11</v>
      </c>
      <c r="I75" s="10" t="s">
        <v>12</v>
      </c>
      <c r="K75" s="9"/>
      <c r="L75" t="s">
        <v>3</v>
      </c>
      <c r="M75" t="s">
        <v>8</v>
      </c>
      <c r="O75" t="s">
        <v>9</v>
      </c>
      <c r="P75" t="s">
        <v>10</v>
      </c>
      <c r="Q75" t="s">
        <v>11</v>
      </c>
      <c r="R75" s="10" t="s">
        <v>12</v>
      </c>
      <c r="T75" s="9"/>
      <c r="U75" t="s">
        <v>3</v>
      </c>
      <c r="V75" t="s">
        <v>8</v>
      </c>
      <c r="X75" t="s">
        <v>9</v>
      </c>
      <c r="Y75" t="s">
        <v>10</v>
      </c>
      <c r="Z75" t="s">
        <v>11</v>
      </c>
      <c r="AA75" s="10" t="s">
        <v>12</v>
      </c>
      <c r="AC75" t="s">
        <v>34</v>
      </c>
      <c r="AD75" t="s">
        <v>35</v>
      </c>
      <c r="AE75" t="s">
        <v>35</v>
      </c>
      <c r="AF75" t="s">
        <v>36</v>
      </c>
      <c r="AH75" t="s">
        <v>34</v>
      </c>
      <c r="AI75" t="s">
        <v>35</v>
      </c>
      <c r="AJ75" t="s">
        <v>35</v>
      </c>
      <c r="AK75" t="s">
        <v>36</v>
      </c>
      <c r="AM75" t="s">
        <v>34</v>
      </c>
      <c r="AN75" t="s">
        <v>35</v>
      </c>
      <c r="AO75" t="s">
        <v>35</v>
      </c>
      <c r="AP75" t="s">
        <v>36</v>
      </c>
    </row>
    <row r="76" spans="1:42" x14ac:dyDescent="0.25">
      <c r="B76" s="9" t="s">
        <v>13</v>
      </c>
      <c r="C76" s="43">
        <v>3</v>
      </c>
      <c r="D76" s="43">
        <v>4</v>
      </c>
      <c r="F76">
        <f>INDEX(Basis!$C$2:$BJ$19,MATCH($C76,Basis!$B$2:$B$19,0),MATCH(F$70,Basis!$C$1:$BJ$1,0))</f>
        <v>1</v>
      </c>
      <c r="G76" s="3"/>
      <c r="H76" s="3">
        <f>IF(G76="",0,IF(G76-D76=0,2,IF(G76-D76=-1,3,IF(G76-D76=-2,4,IF(G76-D76=-3,5,IF(G76-D76=-4,6,IF(G76-D76=1,1,IF(G76-D76&gt;=2,0,))))))))</f>
        <v>0</v>
      </c>
      <c r="I76" s="11">
        <f t="shared" ref="I76:I93" si="62">IF(G76="",0,IF(G76-F76-D76=0,2,IF(G76-F76-D76=-1,3,IF(G76-F76-D76=-2,4,IF(G76-F76-D76=-3,5,IF(G76-F76-D76=-4,6,IF(G76-F76-D76=1,1,IF(G76-F76-D76&gt;=2,0,))))))))</f>
        <v>0</v>
      </c>
      <c r="K76" s="9" t="s">
        <v>13</v>
      </c>
      <c r="L76" s="3">
        <f t="shared" ref="L76:L93" si="63">C76</f>
        <v>3</v>
      </c>
      <c r="M76" s="3">
        <f t="shared" ref="M76:M93" si="64">D76</f>
        <v>4</v>
      </c>
      <c r="O76">
        <f>INDEX(Basis!$C$2:$BJ$19,MATCH($C76,Basis!$B$2:$B$19,0),MATCH(O$70,Basis!$C$1:$BJ$1,0))</f>
        <v>2</v>
      </c>
      <c r="P76" s="3"/>
      <c r="Q76" s="3">
        <f>IF(P76="",0,IF(P76-M76=0,2,IF(P76-M76=-1,3,IF(P76-M76=-2,4,IF(P76-M76=-3,5,IF(P76-M76=-4,6,IF(P76-M76=1,1,IF(P76-M76&gt;=2,0,))))))))</f>
        <v>0</v>
      </c>
      <c r="R76" s="11">
        <f>IF(P76="",0,IF(P76-O76-M76=0,2,IF(P76-O76-M76=-1,3,IF(P76-O76-M76=-2,4,IF(P76-O76-M76=-3,5,IF(P76-O76-M76=-4,6,IF(P76-O76-M76=1,1,IF(P76-O76-M76&gt;=2,0,))))))))</f>
        <v>0</v>
      </c>
      <c r="T76" s="9" t="s">
        <v>13</v>
      </c>
      <c r="U76" s="3">
        <f>C76</f>
        <v>3</v>
      </c>
      <c r="V76" s="3">
        <f>D76</f>
        <v>4</v>
      </c>
      <c r="X76">
        <f>INDEX(Basis!$C$2:$BJ$19,MATCH($U76,Basis!$B$2:$B$19,0),MATCH(X$70,Basis!$C$1:$BJ$1,0))</f>
        <v>2</v>
      </c>
      <c r="Y76" s="3"/>
      <c r="Z76" s="3">
        <f>IF(Y76="",0,IF(Y76-V76=0,2,IF(Y76-V76=-1,3,IF(Y76-V76=-2,4,IF(Y76-V76=-3,5,IF(Y76-V76=-4,6,IF(Y76-V76=1,1,IF(Y76-V76&gt;=2,0,))))))))</f>
        <v>0</v>
      </c>
      <c r="AA76" s="11">
        <f>IF(Y76="",0,IF(Y76-X76-V76=0,2,IF(Y76-X76-V76=-1,3,IF(Y76-X76-V76=-2,4,IF(Y76-X76-V76=-3,5,IF(Y76-X76-V76=-4,6,IF(Y76-X76-V76=1,1,IF(Y76-X76-V76&gt;=2,0,))))))))</f>
        <v>0</v>
      </c>
      <c r="AC76">
        <f>IF(AND(G76&lt;P76,G76&lt;Y76),2,0)</f>
        <v>0</v>
      </c>
      <c r="AD76">
        <f>IF(AND(G76&lt;P76,G76=Y76),1,0)</f>
        <v>0</v>
      </c>
      <c r="AE76">
        <f>IF(AND(G76=P76,G76&lt;Y76),1,0)</f>
        <v>0</v>
      </c>
      <c r="AF76">
        <f>IF(AND(G76=P76,G76=Y76),1,0)</f>
        <v>1</v>
      </c>
      <c r="AH76">
        <f>IF(AND(P76&lt;G76,P76&lt;Y76),2,0)</f>
        <v>0</v>
      </c>
      <c r="AI76">
        <f>IF(AND(P76=G76,P76&lt;Y76),1,0)</f>
        <v>0</v>
      </c>
      <c r="AJ76">
        <f>IF(AND(P76=Y76,P76&lt;G76),1,0)</f>
        <v>0</v>
      </c>
      <c r="AK76">
        <f>IF(AND(P76=G76,P76=Y76),1,0)</f>
        <v>1</v>
      </c>
      <c r="AM76">
        <f>IF(AND(Y76&lt;G76,Y76&lt;P76),2,0)</f>
        <v>0</v>
      </c>
      <c r="AN76">
        <f>IF(AND(Y76=G76,Y76&lt;P76),1,0)</f>
        <v>0</v>
      </c>
      <c r="AO76">
        <f>IF(AND(Y76=P76,Y76&lt;G76),1,0)</f>
        <v>0</v>
      </c>
      <c r="AP76">
        <f>IF(AND(Y76=G76,Y76=P76),1,0)</f>
        <v>1</v>
      </c>
    </row>
    <row r="77" spans="1:42" x14ac:dyDescent="0.25">
      <c r="B77" s="9" t="s">
        <v>14</v>
      </c>
      <c r="C77" s="43">
        <v>11</v>
      </c>
      <c r="D77" s="43">
        <v>4</v>
      </c>
      <c r="F77">
        <f>INDEX(Basis!$C$2:$BJ$19,MATCH($C77,Basis!$B$2:$B$19,0),MATCH(F$70,Basis!$C$1:$BJ$1,0))</f>
        <v>1</v>
      </c>
      <c r="G77" s="3"/>
      <c r="H77" s="3">
        <f t="shared" ref="H77:H93" si="65">IF(G77="",0,IF(G77-D77=0,2,IF(G77-D77=-1,3,IF(G77-D77=-2,4,IF(G77-D77=-3,5,IF(G77-D77=-4,6,IF(G77-D77=1,1,IF(G77-D77&gt;=2,0,))))))))</f>
        <v>0</v>
      </c>
      <c r="I77" s="11">
        <f t="shared" si="62"/>
        <v>0</v>
      </c>
      <c r="K77" s="9" t="s">
        <v>14</v>
      </c>
      <c r="L77" s="3">
        <f t="shared" si="63"/>
        <v>11</v>
      </c>
      <c r="M77" s="3">
        <f t="shared" si="64"/>
        <v>4</v>
      </c>
      <c r="O77">
        <f>INDEX(Basis!$C$2:$BJ$19,MATCH($C77,Basis!$B$2:$B$19,0),MATCH(O$70,Basis!$C$1:$BJ$1,0))</f>
        <v>1</v>
      </c>
      <c r="P77" s="3"/>
      <c r="Q77" s="3">
        <f t="shared" ref="Q77:Q93" si="66">IF(P77="",0,IF(P77-M77=0,2,IF(P77-M77=-1,3,IF(P77-M77=-2,4,IF(P77-M77=-3,5,IF(P77-M77=-4,6,IF(P77-M77=1,1,IF(P77-M77&gt;=2,0,))))))))</f>
        <v>0</v>
      </c>
      <c r="R77" s="11">
        <f t="shared" ref="R77:R93" si="67">IF(P77="",0,IF(P77-O77-M77=0,2,IF(P77-O77-M77=-1,3,IF(P77-O77-M77=-2,4,IF(P77-O77-M77=-3,5,IF(P77-O77-M77=-4,6,IF(P77-O77-M77=1,1,IF(P77-O77-M77&gt;=2,0,))))))))</f>
        <v>0</v>
      </c>
      <c r="T77" s="9" t="s">
        <v>14</v>
      </c>
      <c r="U77" s="3">
        <f t="shared" ref="U77:U93" si="68">C77</f>
        <v>11</v>
      </c>
      <c r="V77" s="3">
        <f t="shared" ref="V77:V93" si="69">D77</f>
        <v>4</v>
      </c>
      <c r="X77">
        <f>INDEX(Basis!$C$2:$BJ$19,MATCH($U77,Basis!$B$2:$B$19,0),MATCH(X$70,Basis!$C$1:$BJ$1,0))</f>
        <v>1</v>
      </c>
      <c r="Y77" s="3"/>
      <c r="Z77" s="3">
        <f t="shared" ref="Z77:Z93" si="70">IF(Y77="",0,IF(Y77-V77=0,2,IF(Y77-V77=-1,3,IF(Y77-V77=-2,4,IF(Y77-V77=-3,5,IF(Y77-V77=-4,6,IF(Y77-V77=1,1,IF(Y77-V77&gt;=2,0,))))))))</f>
        <v>0</v>
      </c>
      <c r="AA77" s="11">
        <f t="shared" ref="AA77:AA93" si="71">IF(Y77="",0,IF(Y77-X77-V77=0,2,IF(Y77-X77-V77=-1,3,IF(Y77-X77-V77=-2,4,IF(Y77-X77-V77=-3,5,IF(Y77-X77-V77=-4,6,IF(Y77-X77-V77=1,1,IF(Y77-X77-V77&gt;=2,0,))))))))</f>
        <v>0</v>
      </c>
      <c r="AC77">
        <f t="shared" ref="AC77:AC93" si="72">IF(AND(G77&lt;P77,G77&lt;Y77),2,0)</f>
        <v>0</v>
      </c>
      <c r="AD77">
        <f t="shared" ref="AD77:AD93" si="73">IF(AND(G77&lt;P77,G77=Y77),1,0)</f>
        <v>0</v>
      </c>
      <c r="AE77">
        <f t="shared" ref="AE77:AE93" si="74">IF(AND(G77=P77,G77&lt;Y77),1,0)</f>
        <v>0</v>
      </c>
      <c r="AF77">
        <f t="shared" ref="AF77:AF93" si="75">IF(AND(G77=P77,G77=Y77),1,0)</f>
        <v>1</v>
      </c>
      <c r="AH77">
        <f t="shared" ref="AH77:AH93" si="76">IF(AND(P77&lt;G77,P77&lt;Y77),2,0)</f>
        <v>0</v>
      </c>
      <c r="AI77">
        <f t="shared" ref="AI77:AI93" si="77">IF(AND(P77=G77,P77&lt;Y77),1,0)</f>
        <v>0</v>
      </c>
      <c r="AJ77">
        <f t="shared" ref="AJ77:AJ93" si="78">IF(AND(P77=Y77,P77&lt;G77),1,0)</f>
        <v>0</v>
      </c>
      <c r="AK77">
        <f t="shared" ref="AK77:AK93" si="79">IF(AND(P77=G77,P77=Y77),1,0)</f>
        <v>1</v>
      </c>
      <c r="AM77">
        <f t="shared" ref="AM77:AM93" si="80">IF(AND(Y77&lt;G77,Y77&lt;P77),2,0)</f>
        <v>0</v>
      </c>
      <c r="AN77">
        <f t="shared" ref="AN77:AN93" si="81">IF(AND(Y77=G77,Y77&lt;P77),1,0)</f>
        <v>0</v>
      </c>
      <c r="AO77">
        <f t="shared" ref="AO77:AO93" si="82">IF(AND(Y77=P77,Y77&lt;G77),1,0)</f>
        <v>0</v>
      </c>
      <c r="AP77">
        <f t="shared" ref="AP77:AP93" si="83">IF(AND(Y77=G77,Y77=P77),1,0)</f>
        <v>1</v>
      </c>
    </row>
    <row r="78" spans="1:42" x14ac:dyDescent="0.25">
      <c r="B78" s="9" t="s">
        <v>15</v>
      </c>
      <c r="C78" s="43">
        <v>7</v>
      </c>
      <c r="D78" s="43">
        <v>5</v>
      </c>
      <c r="F78">
        <f>INDEX(Basis!$C$2:$BJ$19,MATCH($C78,Basis!$B$2:$B$19,0),MATCH(F$70,Basis!$C$1:$BJ$1,0))</f>
        <v>1</v>
      </c>
      <c r="G78" s="3"/>
      <c r="H78" s="3">
        <f t="shared" si="65"/>
        <v>0</v>
      </c>
      <c r="I78" s="11">
        <f t="shared" si="62"/>
        <v>0</v>
      </c>
      <c r="K78" s="9" t="s">
        <v>15</v>
      </c>
      <c r="L78" s="3">
        <f t="shared" si="63"/>
        <v>7</v>
      </c>
      <c r="M78" s="3">
        <f t="shared" si="64"/>
        <v>5</v>
      </c>
      <c r="O78">
        <f>INDEX(Basis!$C$2:$BJ$19,MATCH($C78,Basis!$B$2:$B$19,0),MATCH(O$70,Basis!$C$1:$BJ$1,0))</f>
        <v>1</v>
      </c>
      <c r="P78" s="3"/>
      <c r="Q78" s="3">
        <f t="shared" si="66"/>
        <v>0</v>
      </c>
      <c r="R78" s="11">
        <f t="shared" si="67"/>
        <v>0</v>
      </c>
      <c r="T78" s="9" t="s">
        <v>15</v>
      </c>
      <c r="U78" s="3">
        <f t="shared" si="68"/>
        <v>7</v>
      </c>
      <c r="V78" s="3">
        <f t="shared" si="69"/>
        <v>5</v>
      </c>
      <c r="X78">
        <f>INDEX(Basis!$C$2:$BJ$19,MATCH($U78,Basis!$B$2:$B$19,0),MATCH(X$70,Basis!$C$1:$BJ$1,0))</f>
        <v>2</v>
      </c>
      <c r="Y78" s="3"/>
      <c r="Z78" s="3">
        <f t="shared" si="70"/>
        <v>0</v>
      </c>
      <c r="AA78" s="11">
        <f t="shared" si="71"/>
        <v>0</v>
      </c>
      <c r="AC78">
        <f t="shared" si="72"/>
        <v>0</v>
      </c>
      <c r="AD78">
        <f t="shared" si="73"/>
        <v>0</v>
      </c>
      <c r="AE78">
        <f t="shared" si="74"/>
        <v>0</v>
      </c>
      <c r="AF78">
        <f t="shared" si="75"/>
        <v>1</v>
      </c>
      <c r="AH78">
        <f t="shared" si="76"/>
        <v>0</v>
      </c>
      <c r="AI78">
        <f t="shared" si="77"/>
        <v>0</v>
      </c>
      <c r="AJ78">
        <f t="shared" si="78"/>
        <v>0</v>
      </c>
      <c r="AK78">
        <f t="shared" si="79"/>
        <v>1</v>
      </c>
      <c r="AM78">
        <f t="shared" si="80"/>
        <v>0</v>
      </c>
      <c r="AN78">
        <f t="shared" si="81"/>
        <v>0</v>
      </c>
      <c r="AO78">
        <f t="shared" si="82"/>
        <v>0</v>
      </c>
      <c r="AP78">
        <f t="shared" si="83"/>
        <v>1</v>
      </c>
    </row>
    <row r="79" spans="1:42" x14ac:dyDescent="0.25">
      <c r="B79" s="9" t="s">
        <v>16</v>
      </c>
      <c r="C79" s="43">
        <v>15</v>
      </c>
      <c r="D79" s="43">
        <v>3</v>
      </c>
      <c r="F79">
        <f>INDEX(Basis!$C$2:$BJ$19,MATCH($C79,Basis!$B$2:$B$19,0),MATCH(F$70,Basis!$C$1:$BJ$1,0))</f>
        <v>1</v>
      </c>
      <c r="G79" s="3"/>
      <c r="H79" s="3">
        <f t="shared" si="65"/>
        <v>0</v>
      </c>
      <c r="I79" s="11">
        <f t="shared" si="62"/>
        <v>0</v>
      </c>
      <c r="K79" s="9" t="s">
        <v>16</v>
      </c>
      <c r="L79" s="3">
        <f t="shared" si="63"/>
        <v>15</v>
      </c>
      <c r="M79" s="3">
        <f t="shared" si="64"/>
        <v>3</v>
      </c>
      <c r="O79">
        <f>INDEX(Basis!$C$2:$BJ$19,MATCH($C79,Basis!$B$2:$B$19,0),MATCH(O$70,Basis!$C$1:$BJ$1,0))</f>
        <v>1</v>
      </c>
      <c r="P79" s="3"/>
      <c r="Q79" s="3">
        <f t="shared" si="66"/>
        <v>0</v>
      </c>
      <c r="R79" s="11">
        <f t="shared" si="67"/>
        <v>0</v>
      </c>
      <c r="T79" s="9" t="s">
        <v>16</v>
      </c>
      <c r="U79" s="3">
        <f t="shared" si="68"/>
        <v>15</v>
      </c>
      <c r="V79" s="3">
        <f t="shared" si="69"/>
        <v>3</v>
      </c>
      <c r="X79">
        <f>INDEX(Basis!$C$2:$BJ$19,MATCH($U79,Basis!$B$2:$B$19,0),MATCH(X$70,Basis!$C$1:$BJ$1,0))</f>
        <v>1</v>
      </c>
      <c r="Y79" s="3"/>
      <c r="Z79" s="3">
        <f t="shared" si="70"/>
        <v>0</v>
      </c>
      <c r="AA79" s="11">
        <f t="shared" si="71"/>
        <v>0</v>
      </c>
      <c r="AC79">
        <f t="shared" si="72"/>
        <v>0</v>
      </c>
      <c r="AD79">
        <f t="shared" si="73"/>
        <v>0</v>
      </c>
      <c r="AE79">
        <f t="shared" si="74"/>
        <v>0</v>
      </c>
      <c r="AF79">
        <f t="shared" si="75"/>
        <v>1</v>
      </c>
      <c r="AH79">
        <f t="shared" si="76"/>
        <v>0</v>
      </c>
      <c r="AI79">
        <f t="shared" si="77"/>
        <v>0</v>
      </c>
      <c r="AJ79">
        <f t="shared" si="78"/>
        <v>0</v>
      </c>
      <c r="AK79">
        <f t="shared" si="79"/>
        <v>1</v>
      </c>
      <c r="AM79">
        <f t="shared" si="80"/>
        <v>0</v>
      </c>
      <c r="AN79">
        <f t="shared" si="81"/>
        <v>0</v>
      </c>
      <c r="AO79">
        <f t="shared" si="82"/>
        <v>0</v>
      </c>
      <c r="AP79">
        <f t="shared" si="83"/>
        <v>1</v>
      </c>
    </row>
    <row r="80" spans="1:42" x14ac:dyDescent="0.25">
      <c r="B80" s="9" t="s">
        <v>17</v>
      </c>
      <c r="C80" s="43">
        <v>5</v>
      </c>
      <c r="D80" s="43">
        <v>4</v>
      </c>
      <c r="F80">
        <f>INDEX(Basis!$C$2:$BJ$19,MATCH($C80,Basis!$B$2:$B$19,0),MATCH(F$70,Basis!$C$1:$BJ$1,0))</f>
        <v>1</v>
      </c>
      <c r="G80" s="3"/>
      <c r="H80" s="3">
        <f t="shared" si="65"/>
        <v>0</v>
      </c>
      <c r="I80" s="11">
        <f t="shared" si="62"/>
        <v>0</v>
      </c>
      <c r="K80" s="9" t="s">
        <v>17</v>
      </c>
      <c r="L80" s="3">
        <f t="shared" si="63"/>
        <v>5</v>
      </c>
      <c r="M80" s="3">
        <f t="shared" si="64"/>
        <v>4</v>
      </c>
      <c r="O80">
        <f>INDEX(Basis!$C$2:$BJ$19,MATCH($C80,Basis!$B$2:$B$19,0),MATCH(O$70,Basis!$C$1:$BJ$1,0))</f>
        <v>1</v>
      </c>
      <c r="P80" s="3"/>
      <c r="Q80" s="3">
        <f t="shared" si="66"/>
        <v>0</v>
      </c>
      <c r="R80" s="11">
        <f t="shared" si="67"/>
        <v>0</v>
      </c>
      <c r="T80" s="9" t="s">
        <v>17</v>
      </c>
      <c r="U80" s="3">
        <f t="shared" si="68"/>
        <v>5</v>
      </c>
      <c r="V80" s="3">
        <f t="shared" si="69"/>
        <v>4</v>
      </c>
      <c r="X80">
        <f>INDEX(Basis!$C$2:$BJ$19,MATCH($U80,Basis!$B$2:$B$19,0),MATCH(X$70,Basis!$C$1:$BJ$1,0))</f>
        <v>2</v>
      </c>
      <c r="Y80" s="3"/>
      <c r="Z80" s="3">
        <f t="shared" si="70"/>
        <v>0</v>
      </c>
      <c r="AA80" s="11">
        <f t="shared" si="71"/>
        <v>0</v>
      </c>
      <c r="AC80">
        <f t="shared" si="72"/>
        <v>0</v>
      </c>
      <c r="AD80">
        <f t="shared" si="73"/>
        <v>0</v>
      </c>
      <c r="AE80">
        <f t="shared" si="74"/>
        <v>0</v>
      </c>
      <c r="AF80">
        <f t="shared" si="75"/>
        <v>1</v>
      </c>
      <c r="AH80">
        <f t="shared" si="76"/>
        <v>0</v>
      </c>
      <c r="AI80">
        <f t="shared" si="77"/>
        <v>0</v>
      </c>
      <c r="AJ80">
        <f t="shared" si="78"/>
        <v>0</v>
      </c>
      <c r="AK80">
        <f t="shared" si="79"/>
        <v>1</v>
      </c>
      <c r="AM80">
        <f t="shared" si="80"/>
        <v>0</v>
      </c>
      <c r="AN80">
        <f t="shared" si="81"/>
        <v>0</v>
      </c>
      <c r="AO80">
        <f t="shared" si="82"/>
        <v>0</v>
      </c>
      <c r="AP80">
        <f t="shared" si="83"/>
        <v>1</v>
      </c>
    </row>
    <row r="81" spans="2:42" x14ac:dyDescent="0.25">
      <c r="B81" s="9" t="s">
        <v>18</v>
      </c>
      <c r="C81" s="43">
        <v>17</v>
      </c>
      <c r="D81" s="43">
        <v>4</v>
      </c>
      <c r="F81">
        <f>INDEX(Basis!$C$2:$BJ$19,MATCH($C81,Basis!$B$2:$B$19,0),MATCH(F$70,Basis!$C$1:$BJ$1,0))</f>
        <v>1</v>
      </c>
      <c r="G81" s="3"/>
      <c r="H81" s="3">
        <f t="shared" si="65"/>
        <v>0</v>
      </c>
      <c r="I81" s="11">
        <f t="shared" si="62"/>
        <v>0</v>
      </c>
      <c r="K81" s="9" t="s">
        <v>18</v>
      </c>
      <c r="L81" s="3">
        <f t="shared" si="63"/>
        <v>17</v>
      </c>
      <c r="M81" s="3">
        <f t="shared" si="64"/>
        <v>4</v>
      </c>
      <c r="O81">
        <f>INDEX(Basis!$C$2:$BJ$19,MATCH($C81,Basis!$B$2:$B$19,0),MATCH(O$70,Basis!$C$1:$BJ$1,0))</f>
        <v>1</v>
      </c>
      <c r="P81" s="3"/>
      <c r="Q81" s="3">
        <f t="shared" si="66"/>
        <v>0</v>
      </c>
      <c r="R81" s="11">
        <f t="shared" si="67"/>
        <v>0</v>
      </c>
      <c r="T81" s="9" t="s">
        <v>18</v>
      </c>
      <c r="U81" s="3">
        <f t="shared" si="68"/>
        <v>17</v>
      </c>
      <c r="V81" s="3">
        <f t="shared" si="69"/>
        <v>4</v>
      </c>
      <c r="X81">
        <f>INDEX(Basis!$C$2:$BJ$19,MATCH($U81,Basis!$B$2:$B$19,0),MATCH(X$70,Basis!$C$1:$BJ$1,0))</f>
        <v>1</v>
      </c>
      <c r="Y81" s="3"/>
      <c r="Z81" s="3">
        <f t="shared" si="70"/>
        <v>0</v>
      </c>
      <c r="AA81" s="11">
        <f t="shared" si="71"/>
        <v>0</v>
      </c>
      <c r="AC81">
        <f t="shared" si="72"/>
        <v>0</v>
      </c>
      <c r="AD81">
        <f t="shared" si="73"/>
        <v>0</v>
      </c>
      <c r="AE81">
        <f t="shared" si="74"/>
        <v>0</v>
      </c>
      <c r="AF81">
        <f t="shared" si="75"/>
        <v>1</v>
      </c>
      <c r="AH81">
        <f t="shared" si="76"/>
        <v>0</v>
      </c>
      <c r="AI81">
        <f t="shared" si="77"/>
        <v>0</v>
      </c>
      <c r="AJ81">
        <f t="shared" si="78"/>
        <v>0</v>
      </c>
      <c r="AK81">
        <f t="shared" si="79"/>
        <v>1</v>
      </c>
      <c r="AM81">
        <f t="shared" si="80"/>
        <v>0</v>
      </c>
      <c r="AN81">
        <f t="shared" si="81"/>
        <v>0</v>
      </c>
      <c r="AO81">
        <f t="shared" si="82"/>
        <v>0</v>
      </c>
      <c r="AP81">
        <f t="shared" si="83"/>
        <v>1</v>
      </c>
    </row>
    <row r="82" spans="2:42" x14ac:dyDescent="0.25">
      <c r="B82" s="9" t="s">
        <v>19</v>
      </c>
      <c r="C82" s="43">
        <v>9</v>
      </c>
      <c r="D82" s="43">
        <v>4</v>
      </c>
      <c r="F82">
        <f>INDEX(Basis!$C$2:$BJ$19,MATCH($C82,Basis!$B$2:$B$19,0),MATCH(F$70,Basis!$C$1:$BJ$1,0))</f>
        <v>1</v>
      </c>
      <c r="G82" s="3"/>
      <c r="H82" s="3">
        <f t="shared" si="65"/>
        <v>0</v>
      </c>
      <c r="I82" s="11">
        <f t="shared" si="62"/>
        <v>0</v>
      </c>
      <c r="K82" s="9" t="s">
        <v>19</v>
      </c>
      <c r="L82" s="3">
        <f t="shared" si="63"/>
        <v>9</v>
      </c>
      <c r="M82" s="3">
        <f t="shared" si="64"/>
        <v>4</v>
      </c>
      <c r="O82">
        <f>INDEX(Basis!$C$2:$BJ$19,MATCH($C82,Basis!$B$2:$B$19,0),MATCH(O$70,Basis!$C$1:$BJ$1,0))</f>
        <v>1</v>
      </c>
      <c r="P82" s="3"/>
      <c r="Q82" s="3">
        <f t="shared" si="66"/>
        <v>0</v>
      </c>
      <c r="R82" s="11">
        <f t="shared" si="67"/>
        <v>0</v>
      </c>
      <c r="T82" s="9" t="s">
        <v>19</v>
      </c>
      <c r="U82" s="3">
        <f t="shared" si="68"/>
        <v>9</v>
      </c>
      <c r="V82" s="3">
        <f t="shared" si="69"/>
        <v>4</v>
      </c>
      <c r="X82">
        <f>INDEX(Basis!$C$2:$BJ$19,MATCH($U82,Basis!$B$2:$B$19,0),MATCH(X$70,Basis!$C$1:$BJ$1,0))</f>
        <v>2</v>
      </c>
      <c r="Y82" s="3"/>
      <c r="Z82" s="3">
        <f t="shared" si="70"/>
        <v>0</v>
      </c>
      <c r="AA82" s="11">
        <f t="shared" si="71"/>
        <v>0</v>
      </c>
      <c r="AC82">
        <f t="shared" si="72"/>
        <v>0</v>
      </c>
      <c r="AD82">
        <f t="shared" si="73"/>
        <v>0</v>
      </c>
      <c r="AE82">
        <f t="shared" si="74"/>
        <v>0</v>
      </c>
      <c r="AF82">
        <f t="shared" si="75"/>
        <v>1</v>
      </c>
      <c r="AH82">
        <f t="shared" si="76"/>
        <v>0</v>
      </c>
      <c r="AI82">
        <f t="shared" si="77"/>
        <v>0</v>
      </c>
      <c r="AJ82">
        <f t="shared" si="78"/>
        <v>0</v>
      </c>
      <c r="AK82">
        <f t="shared" si="79"/>
        <v>1</v>
      </c>
      <c r="AM82">
        <f t="shared" si="80"/>
        <v>0</v>
      </c>
      <c r="AN82">
        <f t="shared" si="81"/>
        <v>0</v>
      </c>
      <c r="AO82">
        <f t="shared" si="82"/>
        <v>0</v>
      </c>
      <c r="AP82">
        <f t="shared" si="83"/>
        <v>1</v>
      </c>
    </row>
    <row r="83" spans="2:42" x14ac:dyDescent="0.25">
      <c r="B83" s="9" t="s">
        <v>20</v>
      </c>
      <c r="C83" s="43">
        <v>1</v>
      </c>
      <c r="D83" s="43">
        <v>5</v>
      </c>
      <c r="F83">
        <f>INDEX(Basis!$C$2:$BJ$19,MATCH($C83,Basis!$B$2:$B$19,0),MATCH(F$70,Basis!$C$1:$BJ$1,0))</f>
        <v>1</v>
      </c>
      <c r="G83" s="3"/>
      <c r="H83" s="3">
        <f t="shared" si="65"/>
        <v>0</v>
      </c>
      <c r="I83" s="11">
        <f t="shared" si="62"/>
        <v>0</v>
      </c>
      <c r="K83" s="9" t="s">
        <v>20</v>
      </c>
      <c r="L83" s="3">
        <f t="shared" si="63"/>
        <v>1</v>
      </c>
      <c r="M83" s="3">
        <f t="shared" si="64"/>
        <v>5</v>
      </c>
      <c r="O83">
        <f>INDEX(Basis!$C$2:$BJ$19,MATCH($C83,Basis!$B$2:$B$19,0),MATCH(O$70,Basis!$C$1:$BJ$1,0))</f>
        <v>2</v>
      </c>
      <c r="P83" s="3"/>
      <c r="Q83" s="3">
        <f t="shared" si="66"/>
        <v>0</v>
      </c>
      <c r="R83" s="11">
        <f t="shared" si="67"/>
        <v>0</v>
      </c>
      <c r="T83" s="9" t="s">
        <v>20</v>
      </c>
      <c r="U83" s="3">
        <f t="shared" si="68"/>
        <v>1</v>
      </c>
      <c r="V83" s="3">
        <f t="shared" si="69"/>
        <v>5</v>
      </c>
      <c r="X83">
        <f>INDEX(Basis!$C$2:$BJ$19,MATCH($U83,Basis!$B$2:$B$19,0),MATCH(X$70,Basis!$C$1:$BJ$1,0))</f>
        <v>2</v>
      </c>
      <c r="Y83" s="3"/>
      <c r="Z83" s="3">
        <f t="shared" si="70"/>
        <v>0</v>
      </c>
      <c r="AA83" s="11">
        <f t="shared" si="71"/>
        <v>0</v>
      </c>
      <c r="AC83">
        <f t="shared" si="72"/>
        <v>0</v>
      </c>
      <c r="AD83">
        <f t="shared" si="73"/>
        <v>0</v>
      </c>
      <c r="AE83">
        <f t="shared" si="74"/>
        <v>0</v>
      </c>
      <c r="AF83">
        <f t="shared" si="75"/>
        <v>1</v>
      </c>
      <c r="AH83">
        <f t="shared" si="76"/>
        <v>0</v>
      </c>
      <c r="AI83">
        <f t="shared" si="77"/>
        <v>0</v>
      </c>
      <c r="AJ83">
        <f t="shared" si="78"/>
        <v>0</v>
      </c>
      <c r="AK83">
        <f t="shared" si="79"/>
        <v>1</v>
      </c>
      <c r="AM83">
        <f t="shared" si="80"/>
        <v>0</v>
      </c>
      <c r="AN83">
        <f t="shared" si="81"/>
        <v>0</v>
      </c>
      <c r="AO83">
        <f t="shared" si="82"/>
        <v>0</v>
      </c>
      <c r="AP83">
        <f t="shared" si="83"/>
        <v>1</v>
      </c>
    </row>
    <row r="84" spans="2:42" x14ac:dyDescent="0.25">
      <c r="B84" s="9" t="s">
        <v>21</v>
      </c>
      <c r="C84" s="43">
        <v>13</v>
      </c>
      <c r="D84" s="43">
        <v>3</v>
      </c>
      <c r="F84">
        <f>INDEX(Basis!$C$2:$BJ$19,MATCH($C84,Basis!$B$2:$B$19,0),MATCH(F$70,Basis!$C$1:$BJ$1,0))</f>
        <v>1</v>
      </c>
      <c r="G84" s="3"/>
      <c r="H84" s="3">
        <f t="shared" si="65"/>
        <v>0</v>
      </c>
      <c r="I84" s="11">
        <f t="shared" si="62"/>
        <v>0</v>
      </c>
      <c r="K84" s="9" t="s">
        <v>21</v>
      </c>
      <c r="L84" s="3">
        <f t="shared" si="63"/>
        <v>13</v>
      </c>
      <c r="M84" s="3">
        <f t="shared" si="64"/>
        <v>3</v>
      </c>
      <c r="O84">
        <f>INDEX(Basis!$C$2:$BJ$19,MATCH($C84,Basis!$B$2:$B$19,0),MATCH(O$70,Basis!$C$1:$BJ$1,0))</f>
        <v>1</v>
      </c>
      <c r="P84" s="3"/>
      <c r="Q84" s="3">
        <f t="shared" si="66"/>
        <v>0</v>
      </c>
      <c r="R84" s="11">
        <f t="shared" si="67"/>
        <v>0</v>
      </c>
      <c r="T84" s="9" t="s">
        <v>21</v>
      </c>
      <c r="U84" s="3">
        <f t="shared" si="68"/>
        <v>13</v>
      </c>
      <c r="V84" s="3">
        <f t="shared" si="69"/>
        <v>3</v>
      </c>
      <c r="X84">
        <f>INDEX(Basis!$C$2:$BJ$19,MATCH($U84,Basis!$B$2:$B$19,0),MATCH(X$70,Basis!$C$1:$BJ$1,0))</f>
        <v>1</v>
      </c>
      <c r="Y84" s="3"/>
      <c r="Z84" s="3">
        <f t="shared" si="70"/>
        <v>0</v>
      </c>
      <c r="AA84" s="11">
        <f t="shared" si="71"/>
        <v>0</v>
      </c>
      <c r="AC84">
        <f t="shared" si="72"/>
        <v>0</v>
      </c>
      <c r="AD84">
        <f t="shared" si="73"/>
        <v>0</v>
      </c>
      <c r="AE84">
        <f t="shared" si="74"/>
        <v>0</v>
      </c>
      <c r="AF84">
        <f t="shared" si="75"/>
        <v>1</v>
      </c>
      <c r="AH84">
        <f t="shared" si="76"/>
        <v>0</v>
      </c>
      <c r="AI84">
        <f t="shared" si="77"/>
        <v>0</v>
      </c>
      <c r="AJ84">
        <f t="shared" si="78"/>
        <v>0</v>
      </c>
      <c r="AK84">
        <f t="shared" si="79"/>
        <v>1</v>
      </c>
      <c r="AM84">
        <f t="shared" si="80"/>
        <v>0</v>
      </c>
      <c r="AN84">
        <f t="shared" si="81"/>
        <v>0</v>
      </c>
      <c r="AO84">
        <f t="shared" si="82"/>
        <v>0</v>
      </c>
      <c r="AP84">
        <f t="shared" si="83"/>
        <v>1</v>
      </c>
    </row>
    <row r="85" spans="2:42" x14ac:dyDescent="0.25">
      <c r="B85" s="9" t="s">
        <v>22</v>
      </c>
      <c r="C85" s="43">
        <v>14</v>
      </c>
      <c r="D85" s="43">
        <v>4</v>
      </c>
      <c r="F85">
        <f>INDEX(Basis!$C$2:$BJ$19,MATCH($C85,Basis!$B$2:$B$19,0),MATCH(F$70,Basis!$C$1:$BJ$1,0))</f>
        <v>1</v>
      </c>
      <c r="G85" s="3"/>
      <c r="H85" s="3">
        <f t="shared" si="65"/>
        <v>0</v>
      </c>
      <c r="I85" s="11">
        <f t="shared" si="62"/>
        <v>0</v>
      </c>
      <c r="K85" s="9" t="s">
        <v>22</v>
      </c>
      <c r="L85" s="3">
        <f t="shared" si="63"/>
        <v>14</v>
      </c>
      <c r="M85" s="3">
        <f t="shared" si="64"/>
        <v>4</v>
      </c>
      <c r="O85">
        <f>INDEX(Basis!$C$2:$BJ$19,MATCH($C85,Basis!$B$2:$B$19,0),MATCH(O$70,Basis!$C$1:$BJ$1,0))</f>
        <v>1</v>
      </c>
      <c r="P85" s="3"/>
      <c r="Q85" s="3">
        <f t="shared" si="66"/>
        <v>0</v>
      </c>
      <c r="R85" s="11">
        <f t="shared" si="67"/>
        <v>0</v>
      </c>
      <c r="T85" s="9" t="s">
        <v>22</v>
      </c>
      <c r="U85" s="3">
        <f t="shared" si="68"/>
        <v>14</v>
      </c>
      <c r="V85" s="3">
        <f t="shared" si="69"/>
        <v>4</v>
      </c>
      <c r="X85">
        <f>INDEX(Basis!$C$2:$BJ$19,MATCH($U85,Basis!$B$2:$B$19,0),MATCH(X$70,Basis!$C$1:$BJ$1,0))</f>
        <v>1</v>
      </c>
      <c r="Y85" s="3"/>
      <c r="Z85" s="3">
        <f t="shared" si="70"/>
        <v>0</v>
      </c>
      <c r="AA85" s="11">
        <f t="shared" si="71"/>
        <v>0</v>
      </c>
      <c r="AC85">
        <f t="shared" si="72"/>
        <v>0</v>
      </c>
      <c r="AD85">
        <f t="shared" si="73"/>
        <v>0</v>
      </c>
      <c r="AE85">
        <f t="shared" si="74"/>
        <v>0</v>
      </c>
      <c r="AF85">
        <f t="shared" si="75"/>
        <v>1</v>
      </c>
      <c r="AH85">
        <f t="shared" si="76"/>
        <v>0</v>
      </c>
      <c r="AI85">
        <f t="shared" si="77"/>
        <v>0</v>
      </c>
      <c r="AJ85">
        <f t="shared" si="78"/>
        <v>0</v>
      </c>
      <c r="AK85">
        <f t="shared" si="79"/>
        <v>1</v>
      </c>
      <c r="AM85">
        <f t="shared" si="80"/>
        <v>0</v>
      </c>
      <c r="AN85">
        <f t="shared" si="81"/>
        <v>0</v>
      </c>
      <c r="AO85">
        <f t="shared" si="82"/>
        <v>0</v>
      </c>
      <c r="AP85">
        <f t="shared" si="83"/>
        <v>1</v>
      </c>
    </row>
    <row r="86" spans="2:42" x14ac:dyDescent="0.25">
      <c r="B86" s="9" t="s">
        <v>23</v>
      </c>
      <c r="C86" s="43">
        <v>4</v>
      </c>
      <c r="D86" s="43">
        <v>4</v>
      </c>
      <c r="F86">
        <f>INDEX(Basis!$C$2:$BJ$19,MATCH($C86,Basis!$B$2:$B$19,0),MATCH(F$70,Basis!$C$1:$BJ$1,0))</f>
        <v>1</v>
      </c>
      <c r="G86" s="3"/>
      <c r="H86" s="3">
        <f t="shared" si="65"/>
        <v>0</v>
      </c>
      <c r="I86" s="11">
        <f t="shared" si="62"/>
        <v>0</v>
      </c>
      <c r="K86" s="9" t="s">
        <v>23</v>
      </c>
      <c r="L86" s="3">
        <f t="shared" si="63"/>
        <v>4</v>
      </c>
      <c r="M86" s="3">
        <f t="shared" si="64"/>
        <v>4</v>
      </c>
      <c r="O86">
        <f>INDEX(Basis!$C$2:$BJ$19,MATCH($C86,Basis!$B$2:$B$19,0),MATCH(O$70,Basis!$C$1:$BJ$1,0))</f>
        <v>1</v>
      </c>
      <c r="P86" s="3"/>
      <c r="Q86" s="3">
        <f t="shared" si="66"/>
        <v>0</v>
      </c>
      <c r="R86" s="11">
        <f t="shared" si="67"/>
        <v>0</v>
      </c>
      <c r="T86" s="9" t="s">
        <v>23</v>
      </c>
      <c r="U86" s="3">
        <f t="shared" si="68"/>
        <v>4</v>
      </c>
      <c r="V86" s="3">
        <f t="shared" si="69"/>
        <v>4</v>
      </c>
      <c r="X86">
        <f>INDEX(Basis!$C$2:$BJ$19,MATCH($U86,Basis!$B$2:$B$19,0),MATCH(X$70,Basis!$C$1:$BJ$1,0))</f>
        <v>2</v>
      </c>
      <c r="Y86" s="3"/>
      <c r="Z86" s="3">
        <f t="shared" si="70"/>
        <v>0</v>
      </c>
      <c r="AA86" s="11">
        <f t="shared" si="71"/>
        <v>0</v>
      </c>
      <c r="AC86">
        <f t="shared" si="72"/>
        <v>0</v>
      </c>
      <c r="AD86">
        <f t="shared" si="73"/>
        <v>0</v>
      </c>
      <c r="AE86">
        <f t="shared" si="74"/>
        <v>0</v>
      </c>
      <c r="AF86">
        <f t="shared" si="75"/>
        <v>1</v>
      </c>
      <c r="AH86">
        <f t="shared" si="76"/>
        <v>0</v>
      </c>
      <c r="AI86">
        <f t="shared" si="77"/>
        <v>0</v>
      </c>
      <c r="AJ86">
        <f t="shared" si="78"/>
        <v>0</v>
      </c>
      <c r="AK86">
        <f t="shared" si="79"/>
        <v>1</v>
      </c>
      <c r="AM86">
        <f t="shared" si="80"/>
        <v>0</v>
      </c>
      <c r="AN86">
        <f t="shared" si="81"/>
        <v>0</v>
      </c>
      <c r="AO86">
        <f t="shared" si="82"/>
        <v>0</v>
      </c>
      <c r="AP86">
        <f t="shared" si="83"/>
        <v>1</v>
      </c>
    </row>
    <row r="87" spans="2:42" x14ac:dyDescent="0.25">
      <c r="B87" s="9" t="s">
        <v>24</v>
      </c>
      <c r="C87" s="43">
        <v>6</v>
      </c>
      <c r="D87" s="43">
        <v>5</v>
      </c>
      <c r="F87">
        <f>INDEX(Basis!$C$2:$BJ$19,MATCH($C87,Basis!$B$2:$B$19,0),MATCH(F$70,Basis!$C$1:$BJ$1,0))</f>
        <v>1</v>
      </c>
      <c r="G87" s="3"/>
      <c r="H87" s="3">
        <f t="shared" si="65"/>
        <v>0</v>
      </c>
      <c r="I87" s="11">
        <f t="shared" si="62"/>
        <v>0</v>
      </c>
      <c r="K87" s="9" t="s">
        <v>24</v>
      </c>
      <c r="L87" s="3">
        <f t="shared" si="63"/>
        <v>6</v>
      </c>
      <c r="M87" s="3">
        <f t="shared" si="64"/>
        <v>5</v>
      </c>
      <c r="O87">
        <f>INDEX(Basis!$C$2:$BJ$19,MATCH($C87,Basis!$B$2:$B$19,0),MATCH(O$70,Basis!$C$1:$BJ$1,0))</f>
        <v>1</v>
      </c>
      <c r="P87" s="3"/>
      <c r="Q87" s="3">
        <f t="shared" si="66"/>
        <v>0</v>
      </c>
      <c r="R87" s="11">
        <f t="shared" si="67"/>
        <v>0</v>
      </c>
      <c r="T87" s="9" t="s">
        <v>24</v>
      </c>
      <c r="U87" s="3">
        <f t="shared" si="68"/>
        <v>6</v>
      </c>
      <c r="V87" s="3">
        <f t="shared" si="69"/>
        <v>5</v>
      </c>
      <c r="X87">
        <f>INDEX(Basis!$C$2:$BJ$19,MATCH($U87,Basis!$B$2:$B$19,0),MATCH(X$70,Basis!$C$1:$BJ$1,0))</f>
        <v>2</v>
      </c>
      <c r="Y87" s="3"/>
      <c r="Z87" s="3">
        <f t="shared" si="70"/>
        <v>0</v>
      </c>
      <c r="AA87" s="11">
        <f t="shared" si="71"/>
        <v>0</v>
      </c>
      <c r="AC87">
        <f t="shared" si="72"/>
        <v>0</v>
      </c>
      <c r="AD87">
        <f t="shared" si="73"/>
        <v>0</v>
      </c>
      <c r="AE87">
        <f t="shared" si="74"/>
        <v>0</v>
      </c>
      <c r="AF87">
        <f t="shared" si="75"/>
        <v>1</v>
      </c>
      <c r="AH87">
        <f t="shared" si="76"/>
        <v>0</v>
      </c>
      <c r="AI87">
        <f t="shared" si="77"/>
        <v>0</v>
      </c>
      <c r="AJ87">
        <f t="shared" si="78"/>
        <v>0</v>
      </c>
      <c r="AK87">
        <f t="shared" si="79"/>
        <v>1</v>
      </c>
      <c r="AM87">
        <f t="shared" si="80"/>
        <v>0</v>
      </c>
      <c r="AN87">
        <f t="shared" si="81"/>
        <v>0</v>
      </c>
      <c r="AO87">
        <f t="shared" si="82"/>
        <v>0</v>
      </c>
      <c r="AP87">
        <f t="shared" si="83"/>
        <v>1</v>
      </c>
    </row>
    <row r="88" spans="2:42" x14ac:dyDescent="0.25">
      <c r="B88" s="9" t="s">
        <v>25</v>
      </c>
      <c r="C88" s="43">
        <v>8</v>
      </c>
      <c r="D88" s="43">
        <v>4</v>
      </c>
      <c r="F88">
        <f>INDEX(Basis!$C$2:$BJ$19,MATCH($C88,Basis!$B$2:$B$19,0),MATCH(F$70,Basis!$C$1:$BJ$1,0))</f>
        <v>1</v>
      </c>
      <c r="G88" s="3"/>
      <c r="H88" s="3">
        <f t="shared" si="65"/>
        <v>0</v>
      </c>
      <c r="I88" s="11">
        <f t="shared" si="62"/>
        <v>0</v>
      </c>
      <c r="K88" s="9" t="s">
        <v>25</v>
      </c>
      <c r="L88" s="3">
        <f t="shared" si="63"/>
        <v>8</v>
      </c>
      <c r="M88" s="3">
        <f t="shared" si="64"/>
        <v>4</v>
      </c>
      <c r="O88">
        <f>INDEX(Basis!$C$2:$BJ$19,MATCH($C88,Basis!$B$2:$B$19,0),MATCH(O$70,Basis!$C$1:$BJ$1,0))</f>
        <v>1</v>
      </c>
      <c r="P88" s="3"/>
      <c r="Q88" s="3">
        <f t="shared" si="66"/>
        <v>0</v>
      </c>
      <c r="R88" s="11">
        <f t="shared" si="67"/>
        <v>0</v>
      </c>
      <c r="T88" s="9" t="s">
        <v>25</v>
      </c>
      <c r="U88" s="3">
        <f t="shared" si="68"/>
        <v>8</v>
      </c>
      <c r="V88" s="3">
        <f t="shared" si="69"/>
        <v>4</v>
      </c>
      <c r="X88">
        <f>INDEX(Basis!$C$2:$BJ$19,MATCH($U88,Basis!$B$2:$B$19,0),MATCH(X$70,Basis!$C$1:$BJ$1,0))</f>
        <v>2</v>
      </c>
      <c r="Y88" s="3"/>
      <c r="Z88" s="3">
        <f t="shared" si="70"/>
        <v>0</v>
      </c>
      <c r="AA88" s="11">
        <f t="shared" si="71"/>
        <v>0</v>
      </c>
      <c r="AC88">
        <f t="shared" si="72"/>
        <v>0</v>
      </c>
      <c r="AD88">
        <f t="shared" si="73"/>
        <v>0</v>
      </c>
      <c r="AE88">
        <f t="shared" si="74"/>
        <v>0</v>
      </c>
      <c r="AF88">
        <f t="shared" si="75"/>
        <v>1</v>
      </c>
      <c r="AH88">
        <f t="shared" si="76"/>
        <v>0</v>
      </c>
      <c r="AI88">
        <f t="shared" si="77"/>
        <v>0</v>
      </c>
      <c r="AJ88">
        <f t="shared" si="78"/>
        <v>0</v>
      </c>
      <c r="AK88">
        <f t="shared" si="79"/>
        <v>1</v>
      </c>
      <c r="AM88">
        <f t="shared" si="80"/>
        <v>0</v>
      </c>
      <c r="AN88">
        <f t="shared" si="81"/>
        <v>0</v>
      </c>
      <c r="AO88">
        <f t="shared" si="82"/>
        <v>0</v>
      </c>
      <c r="AP88">
        <f t="shared" si="83"/>
        <v>1</v>
      </c>
    </row>
    <row r="89" spans="2:42" x14ac:dyDescent="0.25">
      <c r="B89" s="9" t="s">
        <v>26</v>
      </c>
      <c r="C89" s="43">
        <v>12</v>
      </c>
      <c r="D89" s="43">
        <v>3</v>
      </c>
      <c r="F89">
        <f>INDEX(Basis!$C$2:$BJ$19,MATCH($C89,Basis!$B$2:$B$19,0),MATCH(F$70,Basis!$C$1:$BJ$1,0))</f>
        <v>1</v>
      </c>
      <c r="G89" s="3"/>
      <c r="H89" s="3">
        <f t="shared" si="65"/>
        <v>0</v>
      </c>
      <c r="I89" s="11">
        <f t="shared" si="62"/>
        <v>0</v>
      </c>
      <c r="K89" s="9" t="s">
        <v>26</v>
      </c>
      <c r="L89" s="3">
        <f t="shared" si="63"/>
        <v>12</v>
      </c>
      <c r="M89" s="3">
        <f t="shared" si="64"/>
        <v>3</v>
      </c>
      <c r="O89">
        <f>INDEX(Basis!$C$2:$BJ$19,MATCH($C89,Basis!$B$2:$B$19,0),MATCH(O$70,Basis!$C$1:$BJ$1,0))</f>
        <v>1</v>
      </c>
      <c r="P89" s="3"/>
      <c r="Q89" s="3">
        <f t="shared" si="66"/>
        <v>0</v>
      </c>
      <c r="R89" s="11">
        <f t="shared" si="67"/>
        <v>0</v>
      </c>
      <c r="T89" s="9" t="s">
        <v>26</v>
      </c>
      <c r="U89" s="3">
        <f t="shared" si="68"/>
        <v>12</v>
      </c>
      <c r="V89" s="3">
        <f t="shared" si="69"/>
        <v>3</v>
      </c>
      <c r="X89">
        <f>INDEX(Basis!$C$2:$BJ$19,MATCH($U89,Basis!$B$2:$B$19,0),MATCH(X$70,Basis!$C$1:$BJ$1,0))</f>
        <v>1</v>
      </c>
      <c r="Y89" s="3"/>
      <c r="Z89" s="3">
        <f t="shared" si="70"/>
        <v>0</v>
      </c>
      <c r="AA89" s="11">
        <f t="shared" si="71"/>
        <v>0</v>
      </c>
      <c r="AC89">
        <f t="shared" si="72"/>
        <v>0</v>
      </c>
      <c r="AD89">
        <f t="shared" si="73"/>
        <v>0</v>
      </c>
      <c r="AE89">
        <f t="shared" si="74"/>
        <v>0</v>
      </c>
      <c r="AF89">
        <f t="shared" si="75"/>
        <v>1</v>
      </c>
      <c r="AH89">
        <f t="shared" si="76"/>
        <v>0</v>
      </c>
      <c r="AI89">
        <f t="shared" si="77"/>
        <v>0</v>
      </c>
      <c r="AJ89">
        <f t="shared" si="78"/>
        <v>0</v>
      </c>
      <c r="AK89">
        <f t="shared" si="79"/>
        <v>1</v>
      </c>
      <c r="AM89">
        <f t="shared" si="80"/>
        <v>0</v>
      </c>
      <c r="AN89">
        <f t="shared" si="81"/>
        <v>0</v>
      </c>
      <c r="AO89">
        <f t="shared" si="82"/>
        <v>0</v>
      </c>
      <c r="AP89">
        <f t="shared" si="83"/>
        <v>1</v>
      </c>
    </row>
    <row r="90" spans="2:42" x14ac:dyDescent="0.25">
      <c r="B90" s="9" t="s">
        <v>27</v>
      </c>
      <c r="C90" s="43">
        <v>10</v>
      </c>
      <c r="D90" s="43">
        <v>5</v>
      </c>
      <c r="F90">
        <f>INDEX(Basis!$C$2:$BJ$19,MATCH($C90,Basis!$B$2:$B$19,0),MATCH(F$70,Basis!$C$1:$BJ$1,0))</f>
        <v>1</v>
      </c>
      <c r="G90" s="3"/>
      <c r="H90" s="3">
        <f t="shared" si="65"/>
        <v>0</v>
      </c>
      <c r="I90" s="11">
        <f t="shared" si="62"/>
        <v>0</v>
      </c>
      <c r="K90" s="9" t="s">
        <v>27</v>
      </c>
      <c r="L90" s="3">
        <f t="shared" si="63"/>
        <v>10</v>
      </c>
      <c r="M90" s="3">
        <f t="shared" si="64"/>
        <v>5</v>
      </c>
      <c r="O90">
        <f>INDEX(Basis!$C$2:$BJ$19,MATCH($C90,Basis!$B$2:$B$19,0),MATCH(O$70,Basis!$C$1:$BJ$1,0))</f>
        <v>1</v>
      </c>
      <c r="P90" s="3"/>
      <c r="Q90" s="3">
        <f t="shared" si="66"/>
        <v>0</v>
      </c>
      <c r="R90" s="11">
        <f t="shared" si="67"/>
        <v>0</v>
      </c>
      <c r="T90" s="9" t="s">
        <v>27</v>
      </c>
      <c r="U90" s="3">
        <f t="shared" si="68"/>
        <v>10</v>
      </c>
      <c r="V90" s="3">
        <f t="shared" si="69"/>
        <v>5</v>
      </c>
      <c r="X90">
        <f>INDEX(Basis!$C$2:$BJ$19,MATCH($U90,Basis!$B$2:$B$19,0),MATCH(X$70,Basis!$C$1:$BJ$1,0))</f>
        <v>1</v>
      </c>
      <c r="Y90" s="3"/>
      <c r="Z90" s="3">
        <f t="shared" si="70"/>
        <v>0</v>
      </c>
      <c r="AA90" s="11">
        <f t="shared" si="71"/>
        <v>0</v>
      </c>
      <c r="AC90">
        <f t="shared" si="72"/>
        <v>0</v>
      </c>
      <c r="AD90">
        <f t="shared" si="73"/>
        <v>0</v>
      </c>
      <c r="AE90">
        <f t="shared" si="74"/>
        <v>0</v>
      </c>
      <c r="AF90">
        <f t="shared" si="75"/>
        <v>1</v>
      </c>
      <c r="AH90">
        <f t="shared" si="76"/>
        <v>0</v>
      </c>
      <c r="AI90">
        <f t="shared" si="77"/>
        <v>0</v>
      </c>
      <c r="AJ90">
        <f t="shared" si="78"/>
        <v>0</v>
      </c>
      <c r="AK90">
        <f t="shared" si="79"/>
        <v>1</v>
      </c>
      <c r="AM90">
        <f t="shared" si="80"/>
        <v>0</v>
      </c>
      <c r="AN90">
        <f t="shared" si="81"/>
        <v>0</v>
      </c>
      <c r="AO90">
        <f t="shared" si="82"/>
        <v>0</v>
      </c>
      <c r="AP90">
        <f t="shared" si="83"/>
        <v>1</v>
      </c>
    </row>
    <row r="91" spans="2:42" x14ac:dyDescent="0.25">
      <c r="B91" s="9" t="s">
        <v>28</v>
      </c>
      <c r="C91" s="43">
        <v>16</v>
      </c>
      <c r="D91" s="43">
        <v>3</v>
      </c>
      <c r="F91">
        <f>INDEX(Basis!$C$2:$BJ$19,MATCH($C91,Basis!$B$2:$B$19,0),MATCH(F$70,Basis!$C$1:$BJ$1,0))</f>
        <v>1</v>
      </c>
      <c r="G91" s="3"/>
      <c r="H91" s="3">
        <f t="shared" si="65"/>
        <v>0</v>
      </c>
      <c r="I91" s="11">
        <f t="shared" si="62"/>
        <v>0</v>
      </c>
      <c r="K91" s="9" t="s">
        <v>28</v>
      </c>
      <c r="L91" s="3">
        <f t="shared" si="63"/>
        <v>16</v>
      </c>
      <c r="M91" s="3">
        <f t="shared" si="64"/>
        <v>3</v>
      </c>
      <c r="O91">
        <f>INDEX(Basis!$C$2:$BJ$19,MATCH($C91,Basis!$B$2:$B$19,0),MATCH(O$70,Basis!$C$1:$BJ$1,0))</f>
        <v>1</v>
      </c>
      <c r="P91" s="3"/>
      <c r="Q91" s="3">
        <f t="shared" si="66"/>
        <v>0</v>
      </c>
      <c r="R91" s="11">
        <f t="shared" si="67"/>
        <v>0</v>
      </c>
      <c r="T91" s="9" t="s">
        <v>28</v>
      </c>
      <c r="U91" s="3">
        <f t="shared" si="68"/>
        <v>16</v>
      </c>
      <c r="V91" s="3">
        <f t="shared" si="69"/>
        <v>3</v>
      </c>
      <c r="X91">
        <f>INDEX(Basis!$C$2:$BJ$19,MATCH($U91,Basis!$B$2:$B$19,0),MATCH(X$70,Basis!$C$1:$BJ$1,0))</f>
        <v>1</v>
      </c>
      <c r="Y91" s="3"/>
      <c r="Z91" s="3">
        <f t="shared" si="70"/>
        <v>0</v>
      </c>
      <c r="AA91" s="11">
        <f t="shared" si="71"/>
        <v>0</v>
      </c>
      <c r="AC91">
        <f t="shared" si="72"/>
        <v>0</v>
      </c>
      <c r="AD91">
        <f t="shared" si="73"/>
        <v>0</v>
      </c>
      <c r="AE91">
        <f t="shared" si="74"/>
        <v>0</v>
      </c>
      <c r="AF91">
        <f t="shared" si="75"/>
        <v>1</v>
      </c>
      <c r="AH91">
        <f t="shared" si="76"/>
        <v>0</v>
      </c>
      <c r="AI91">
        <f t="shared" si="77"/>
        <v>0</v>
      </c>
      <c r="AJ91">
        <f t="shared" si="78"/>
        <v>0</v>
      </c>
      <c r="AK91">
        <f t="shared" si="79"/>
        <v>1</v>
      </c>
      <c r="AM91">
        <f t="shared" si="80"/>
        <v>0</v>
      </c>
      <c r="AN91">
        <f t="shared" si="81"/>
        <v>0</v>
      </c>
      <c r="AO91">
        <f t="shared" si="82"/>
        <v>0</v>
      </c>
      <c r="AP91">
        <f t="shared" si="83"/>
        <v>1</v>
      </c>
    </row>
    <row r="92" spans="2:42" x14ac:dyDescent="0.25">
      <c r="B92" s="9" t="s">
        <v>29</v>
      </c>
      <c r="C92" s="43">
        <v>2</v>
      </c>
      <c r="D92" s="43">
        <v>4</v>
      </c>
      <c r="F92">
        <f>INDEX(Basis!$C$2:$BJ$19,MATCH($C92,Basis!$B$2:$B$19,0),MATCH(F$70,Basis!$C$1:$BJ$1,0))</f>
        <v>1</v>
      </c>
      <c r="G92" s="3"/>
      <c r="H92" s="3">
        <f t="shared" si="65"/>
        <v>0</v>
      </c>
      <c r="I92" s="11">
        <f t="shared" si="62"/>
        <v>0</v>
      </c>
      <c r="K92" s="9" t="s">
        <v>29</v>
      </c>
      <c r="L92" s="3">
        <f t="shared" si="63"/>
        <v>2</v>
      </c>
      <c r="M92" s="3">
        <f t="shared" si="64"/>
        <v>4</v>
      </c>
      <c r="O92">
        <f>INDEX(Basis!$C$2:$BJ$19,MATCH($C92,Basis!$B$2:$B$19,0),MATCH(O$70,Basis!$C$1:$BJ$1,0))</f>
        <v>2</v>
      </c>
      <c r="P92" s="3"/>
      <c r="Q92" s="3">
        <f t="shared" si="66"/>
        <v>0</v>
      </c>
      <c r="R92" s="11">
        <f t="shared" si="67"/>
        <v>0</v>
      </c>
      <c r="T92" s="9" t="s">
        <v>29</v>
      </c>
      <c r="U92" s="3">
        <f t="shared" si="68"/>
        <v>2</v>
      </c>
      <c r="V92" s="3">
        <f t="shared" si="69"/>
        <v>4</v>
      </c>
      <c r="X92">
        <f>INDEX(Basis!$C$2:$BJ$19,MATCH($U92,Basis!$B$2:$B$19,0),MATCH(X$70,Basis!$C$1:$BJ$1,0))</f>
        <v>2</v>
      </c>
      <c r="Y92" s="3"/>
      <c r="Z92" s="3">
        <f t="shared" si="70"/>
        <v>0</v>
      </c>
      <c r="AA92" s="11">
        <f t="shared" si="71"/>
        <v>0</v>
      </c>
      <c r="AC92">
        <f t="shared" si="72"/>
        <v>0</v>
      </c>
      <c r="AD92">
        <f t="shared" si="73"/>
        <v>0</v>
      </c>
      <c r="AE92">
        <f t="shared" si="74"/>
        <v>0</v>
      </c>
      <c r="AF92">
        <f t="shared" si="75"/>
        <v>1</v>
      </c>
      <c r="AH92">
        <f t="shared" si="76"/>
        <v>0</v>
      </c>
      <c r="AI92">
        <f t="shared" si="77"/>
        <v>0</v>
      </c>
      <c r="AJ92">
        <f t="shared" si="78"/>
        <v>0</v>
      </c>
      <c r="AK92">
        <f t="shared" si="79"/>
        <v>1</v>
      </c>
      <c r="AM92">
        <f t="shared" si="80"/>
        <v>0</v>
      </c>
      <c r="AN92">
        <f t="shared" si="81"/>
        <v>0</v>
      </c>
      <c r="AO92">
        <f t="shared" si="82"/>
        <v>0</v>
      </c>
      <c r="AP92">
        <f t="shared" si="83"/>
        <v>1</v>
      </c>
    </row>
    <row r="93" spans="2:42" x14ac:dyDescent="0.25">
      <c r="B93" s="9" t="s">
        <v>30</v>
      </c>
      <c r="C93" s="43">
        <v>18</v>
      </c>
      <c r="D93" s="43">
        <v>4</v>
      </c>
      <c r="F93">
        <f>INDEX(Basis!$C$2:$BJ$19,MATCH($C93,Basis!$B$2:$B$19,0),MATCH(F$70,Basis!$C$1:$BJ$1,0))</f>
        <v>0</v>
      </c>
      <c r="G93" s="3"/>
      <c r="H93" s="3">
        <f t="shared" si="65"/>
        <v>0</v>
      </c>
      <c r="I93" s="11">
        <f t="shared" si="62"/>
        <v>0</v>
      </c>
      <c r="K93" s="9" t="s">
        <v>30</v>
      </c>
      <c r="L93" s="3">
        <f t="shared" si="63"/>
        <v>18</v>
      </c>
      <c r="M93" s="3">
        <f t="shared" si="64"/>
        <v>4</v>
      </c>
      <c r="O93">
        <f>INDEX(Basis!$C$2:$BJ$19,MATCH($C93,Basis!$B$2:$B$19,0),MATCH(O$70,Basis!$C$1:$BJ$1,0))</f>
        <v>1</v>
      </c>
      <c r="P93" s="3"/>
      <c r="Q93" s="3">
        <f t="shared" si="66"/>
        <v>0</v>
      </c>
      <c r="R93" s="11">
        <f t="shared" si="67"/>
        <v>0</v>
      </c>
      <c r="T93" s="9" t="s">
        <v>30</v>
      </c>
      <c r="U93" s="3">
        <f t="shared" si="68"/>
        <v>18</v>
      </c>
      <c r="V93" s="3">
        <f t="shared" si="69"/>
        <v>4</v>
      </c>
      <c r="X93">
        <f>INDEX(Basis!$C$2:$BJ$19,MATCH($U93,Basis!$B$2:$B$19,0),MATCH(X$70,Basis!$C$1:$BJ$1,0))</f>
        <v>1</v>
      </c>
      <c r="Y93" s="3"/>
      <c r="Z93" s="3">
        <f t="shared" si="70"/>
        <v>0</v>
      </c>
      <c r="AA93" s="11">
        <f t="shared" si="71"/>
        <v>0</v>
      </c>
      <c r="AC93">
        <f t="shared" si="72"/>
        <v>0</v>
      </c>
      <c r="AD93">
        <f t="shared" si="73"/>
        <v>0</v>
      </c>
      <c r="AE93">
        <f t="shared" si="74"/>
        <v>0</v>
      </c>
      <c r="AF93">
        <f t="shared" si="75"/>
        <v>1</v>
      </c>
      <c r="AH93">
        <f t="shared" si="76"/>
        <v>0</v>
      </c>
      <c r="AI93">
        <f t="shared" si="77"/>
        <v>0</v>
      </c>
      <c r="AJ93">
        <f t="shared" si="78"/>
        <v>0</v>
      </c>
      <c r="AK93">
        <f t="shared" si="79"/>
        <v>1</v>
      </c>
      <c r="AM93">
        <f t="shared" si="80"/>
        <v>0</v>
      </c>
      <c r="AN93">
        <f t="shared" si="81"/>
        <v>0</v>
      </c>
      <c r="AO93">
        <f t="shared" si="82"/>
        <v>0</v>
      </c>
      <c r="AP93">
        <f t="shared" si="83"/>
        <v>1</v>
      </c>
    </row>
    <row r="94" spans="2:42" x14ac:dyDescent="0.25">
      <c r="B94" s="9"/>
      <c r="C94" s="3"/>
      <c r="D94" s="3"/>
      <c r="G94" s="3"/>
      <c r="H94" s="3"/>
      <c r="I94" s="11"/>
      <c r="K94" s="9"/>
      <c r="L94" s="3"/>
      <c r="M94" s="3"/>
      <c r="P94" s="3"/>
      <c r="Q94" s="3"/>
      <c r="R94" s="11"/>
      <c r="T94" s="9"/>
      <c r="U94" s="3"/>
      <c r="V94" s="3"/>
      <c r="Y94" s="3"/>
      <c r="Z94" s="3"/>
      <c r="AA94" s="11"/>
    </row>
    <row r="95" spans="2:42" x14ac:dyDescent="0.25">
      <c r="B95" s="16" t="s">
        <v>31</v>
      </c>
      <c r="C95" s="17"/>
      <c r="D95" s="17"/>
      <c r="E95" s="18"/>
      <c r="F95" s="18"/>
      <c r="G95" s="17">
        <f>SUM(G76:G84)</f>
        <v>0</v>
      </c>
      <c r="H95" s="17">
        <f>SUM(H76:H84)</f>
        <v>0</v>
      </c>
      <c r="I95" s="19">
        <f>SUM(I76:I84)</f>
        <v>0</v>
      </c>
      <c r="K95" s="16" t="s">
        <v>31</v>
      </c>
      <c r="L95" s="17"/>
      <c r="M95" s="17"/>
      <c r="N95" s="18"/>
      <c r="O95" s="18"/>
      <c r="P95" s="17">
        <f>SUM(P76:P84)</f>
        <v>0</v>
      </c>
      <c r="Q95" s="17">
        <f>SUM(Q76:Q84)</f>
        <v>0</v>
      </c>
      <c r="R95" s="19">
        <f>SUM(R76:R84)</f>
        <v>0</v>
      </c>
      <c r="T95" s="16" t="s">
        <v>31</v>
      </c>
      <c r="U95" s="17"/>
      <c r="V95" s="17"/>
      <c r="W95" s="18"/>
      <c r="X95" s="18"/>
      <c r="Y95" s="17">
        <f>SUM(Y76:Y84)</f>
        <v>0</v>
      </c>
      <c r="Z95" s="17">
        <f>SUM(Z76:Z84)</f>
        <v>0</v>
      </c>
      <c r="AA95" s="19">
        <f>SUM(AA76:AA84)</f>
        <v>0</v>
      </c>
      <c r="AC95" s="19">
        <f t="shared" ref="AC95:AF95" si="84">SUM(AC76:AC84)</f>
        <v>0</v>
      </c>
      <c r="AD95" s="19">
        <f t="shared" si="84"/>
        <v>0</v>
      </c>
      <c r="AE95" s="19">
        <f t="shared" si="84"/>
        <v>0</v>
      </c>
      <c r="AF95" s="19">
        <f t="shared" si="84"/>
        <v>9</v>
      </c>
      <c r="AH95" s="19">
        <f t="shared" ref="AH95:AK95" si="85">SUM(AH76:AH84)</f>
        <v>0</v>
      </c>
      <c r="AI95" s="19">
        <f t="shared" si="85"/>
        <v>0</v>
      </c>
      <c r="AJ95" s="19">
        <f t="shared" si="85"/>
        <v>0</v>
      </c>
      <c r="AK95" s="19">
        <f t="shared" si="85"/>
        <v>9</v>
      </c>
      <c r="AM95" s="19">
        <f t="shared" ref="AM95:AP95" si="86">SUM(AM76:AM84)</f>
        <v>0</v>
      </c>
      <c r="AN95" s="19">
        <f t="shared" si="86"/>
        <v>0</v>
      </c>
      <c r="AO95" s="19">
        <f t="shared" si="86"/>
        <v>0</v>
      </c>
      <c r="AP95" s="19">
        <f t="shared" si="86"/>
        <v>9</v>
      </c>
    </row>
    <row r="96" spans="2:42" x14ac:dyDescent="0.25">
      <c r="B96" s="16" t="s">
        <v>32</v>
      </c>
      <c r="C96" s="18"/>
      <c r="D96" s="18"/>
      <c r="E96" s="18"/>
      <c r="F96" s="18"/>
      <c r="G96" s="17">
        <f>SUM(G85:G93)</f>
        <v>0</v>
      </c>
      <c r="H96" s="17">
        <f>SUM(H85:H93)</f>
        <v>0</v>
      </c>
      <c r="I96" s="19">
        <f>SUM(I85:I93)</f>
        <v>0</v>
      </c>
      <c r="K96" s="16" t="s">
        <v>32</v>
      </c>
      <c r="L96" s="18"/>
      <c r="M96" s="18"/>
      <c r="N96" s="18"/>
      <c r="O96" s="18"/>
      <c r="P96" s="17">
        <f>SUM(P85:P93)</f>
        <v>0</v>
      </c>
      <c r="Q96" s="17">
        <f>SUM(Q85:Q93)</f>
        <v>0</v>
      </c>
      <c r="R96" s="19">
        <f>SUM(R85:R93)</f>
        <v>0</v>
      </c>
      <c r="T96" s="16" t="s">
        <v>32</v>
      </c>
      <c r="U96" s="18"/>
      <c r="V96" s="18"/>
      <c r="W96" s="18"/>
      <c r="X96" s="18"/>
      <c r="Y96" s="17">
        <f>SUM(Y85:Y93)</f>
        <v>0</v>
      </c>
      <c r="Z96" s="17">
        <f>SUM(Z85:Z93)</f>
        <v>0</v>
      </c>
      <c r="AA96" s="19">
        <f>SUM(AA85:AA93)</f>
        <v>0</v>
      </c>
      <c r="AC96" s="19">
        <f t="shared" ref="AC96:AF96" si="87">SUM(AC85:AC93)</f>
        <v>0</v>
      </c>
      <c r="AD96" s="19">
        <f t="shared" si="87"/>
        <v>0</v>
      </c>
      <c r="AE96" s="19">
        <f t="shared" si="87"/>
        <v>0</v>
      </c>
      <c r="AF96" s="19">
        <f t="shared" si="87"/>
        <v>9</v>
      </c>
      <c r="AH96" s="19">
        <f t="shared" ref="AH96:AK96" si="88">SUM(AH85:AH93)</f>
        <v>0</v>
      </c>
      <c r="AI96" s="19">
        <f t="shared" si="88"/>
        <v>0</v>
      </c>
      <c r="AJ96" s="19">
        <f t="shared" si="88"/>
        <v>0</v>
      </c>
      <c r="AK96" s="19">
        <f t="shared" si="88"/>
        <v>9</v>
      </c>
      <c r="AM96" s="19">
        <f t="shared" ref="AM96:AP96" si="89">SUM(AM85:AM93)</f>
        <v>0</v>
      </c>
      <c r="AN96" s="19">
        <f t="shared" si="89"/>
        <v>0</v>
      </c>
      <c r="AO96" s="19">
        <f t="shared" si="89"/>
        <v>0</v>
      </c>
      <c r="AP96" s="19">
        <f t="shared" si="89"/>
        <v>9</v>
      </c>
    </row>
    <row r="97" spans="1:45" x14ac:dyDescent="0.25">
      <c r="B97" s="9"/>
      <c r="F97" s="22">
        <f>SUM(F76:F93)</f>
        <v>17</v>
      </c>
      <c r="G97" s="5">
        <f>SUM(G76:G93)</f>
        <v>0</v>
      </c>
      <c r="H97" s="5">
        <f>SUM(H76:H93)</f>
        <v>0</v>
      </c>
      <c r="I97" s="23">
        <f>SUM(I76:I93)</f>
        <v>0</v>
      </c>
      <c r="K97" s="9"/>
      <c r="O97" s="22">
        <f>SUM(O76:O93)</f>
        <v>21</v>
      </c>
      <c r="P97" s="5">
        <f>SUM(P76:P93)</f>
        <v>0</v>
      </c>
      <c r="Q97" s="5">
        <f>SUM(Q76:Q93)</f>
        <v>0</v>
      </c>
      <c r="R97" s="23">
        <f>SUM(R76:R93)</f>
        <v>0</v>
      </c>
      <c r="T97" s="9"/>
      <c r="X97" s="22">
        <f>SUM(X76:X93)</f>
        <v>27</v>
      </c>
      <c r="Y97" s="5">
        <f>SUM(Y76:Y93)</f>
        <v>0</v>
      </c>
      <c r="Z97" s="5">
        <f>SUM(Z76:Z93)</f>
        <v>0</v>
      </c>
      <c r="AA97" s="23">
        <f>SUM(AA76:AA93)</f>
        <v>0</v>
      </c>
      <c r="AC97" s="5">
        <f t="shared" ref="AC97:AF97" si="90">SUM(AC76:AC93)</f>
        <v>0</v>
      </c>
      <c r="AD97" s="5">
        <f t="shared" si="90"/>
        <v>0</v>
      </c>
      <c r="AE97" s="5">
        <f t="shared" si="90"/>
        <v>0</v>
      </c>
      <c r="AF97" s="5">
        <f t="shared" si="90"/>
        <v>18</v>
      </c>
      <c r="AH97" s="5">
        <f t="shared" ref="AH97:AK97" si="91">SUM(AH76:AH93)</f>
        <v>0</v>
      </c>
      <c r="AI97" s="5">
        <f t="shared" si="91"/>
        <v>0</v>
      </c>
      <c r="AJ97" s="5">
        <f t="shared" si="91"/>
        <v>0</v>
      </c>
      <c r="AK97" s="5">
        <f t="shared" si="91"/>
        <v>18</v>
      </c>
      <c r="AM97" s="5">
        <f t="shared" ref="AM97:AP97" si="92">SUM(AM76:AM93)</f>
        <v>0</v>
      </c>
      <c r="AN97" s="5">
        <f t="shared" si="92"/>
        <v>0</v>
      </c>
      <c r="AO97" s="5">
        <f t="shared" si="92"/>
        <v>0</v>
      </c>
      <c r="AP97" s="5">
        <f t="shared" si="92"/>
        <v>18</v>
      </c>
      <c r="AQ97">
        <f>G95+G62+G29</f>
        <v>0</v>
      </c>
      <c r="AR97">
        <f>P95+P62+P29</f>
        <v>0</v>
      </c>
      <c r="AS97">
        <f>Y95+Y62+Y29</f>
        <v>0</v>
      </c>
    </row>
    <row r="98" spans="1:45" ht="15.75" thickBot="1" x14ac:dyDescent="0.3">
      <c r="B98" s="12"/>
      <c r="C98" s="13"/>
      <c r="D98" s="13"/>
      <c r="E98" s="13"/>
      <c r="F98" s="13"/>
      <c r="G98" s="13"/>
      <c r="H98" s="13"/>
      <c r="I98" s="14"/>
      <c r="K98" s="12"/>
      <c r="L98" s="13"/>
      <c r="M98" s="13"/>
      <c r="N98" s="13"/>
      <c r="O98" s="13"/>
      <c r="P98" s="13"/>
      <c r="Q98" s="13"/>
      <c r="R98" s="14"/>
      <c r="T98" s="12"/>
      <c r="U98" s="13"/>
      <c r="V98" s="13"/>
      <c r="W98" s="13"/>
      <c r="X98" s="13"/>
      <c r="Y98" s="13"/>
      <c r="Z98" s="13"/>
      <c r="AA98" s="14"/>
      <c r="AF98" s="24">
        <f>SUM(AC97:AF97)</f>
        <v>18</v>
      </c>
      <c r="AK98" s="24">
        <f>SUM(AH97:AK97)</f>
        <v>18</v>
      </c>
      <c r="AP98" s="24">
        <f>SUM(AM97:AP97)</f>
        <v>18</v>
      </c>
      <c r="AQ98">
        <f>H95+H62+H29</f>
        <v>0</v>
      </c>
      <c r="AR98">
        <f>Q95+Q29+Q62</f>
        <v>0</v>
      </c>
      <c r="AS98">
        <f>Z95+Z62+Z29</f>
        <v>0</v>
      </c>
    </row>
    <row r="99" spans="1:45" ht="15.75" thickBot="1" x14ac:dyDescent="0.3">
      <c r="AQ99">
        <f>I95+I62+I29</f>
        <v>0</v>
      </c>
      <c r="AR99">
        <f>R95+R62+R29</f>
        <v>0</v>
      </c>
      <c r="AS99">
        <f>AA95+AA62+AA29</f>
        <v>0</v>
      </c>
    </row>
    <row r="100" spans="1:45" ht="19.5" thickBot="1" x14ac:dyDescent="0.35">
      <c r="B100" s="44" t="s">
        <v>39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6"/>
    </row>
    <row r="101" spans="1:45" x14ac:dyDescent="0.25">
      <c r="A101" s="20" t="s">
        <v>0</v>
      </c>
      <c r="B101" s="47" t="s">
        <v>1</v>
      </c>
      <c r="C101" s="48"/>
      <c r="D101" s="48"/>
      <c r="E101" s="48"/>
      <c r="F101" s="48"/>
      <c r="G101" s="48"/>
      <c r="H101" s="48"/>
      <c r="I101" s="49"/>
      <c r="K101" s="47" t="s">
        <v>2</v>
      </c>
      <c r="L101" s="48"/>
      <c r="M101" s="48"/>
      <c r="N101" s="48"/>
      <c r="O101" s="48"/>
      <c r="P101" s="48"/>
      <c r="Q101" s="48"/>
      <c r="R101" s="49"/>
      <c r="T101" s="47" t="s">
        <v>33</v>
      </c>
      <c r="U101" s="48"/>
      <c r="V101" s="48"/>
      <c r="W101" s="48"/>
      <c r="X101" s="48"/>
      <c r="Y101" s="48"/>
      <c r="Z101" s="48"/>
      <c r="AA101" s="49"/>
      <c r="AC101" s="48" t="str">
        <f>B101</f>
        <v>Ludwig</v>
      </c>
      <c r="AD101" s="48"/>
      <c r="AE101" s="48"/>
      <c r="AF101" s="48"/>
      <c r="AH101" s="48" t="str">
        <f>K101</f>
        <v>Andreas</v>
      </c>
      <c r="AI101" s="48"/>
      <c r="AJ101" s="48"/>
      <c r="AK101" s="48"/>
      <c r="AM101" s="48" t="str">
        <f>T101</f>
        <v>Peter</v>
      </c>
      <c r="AN101" s="48"/>
      <c r="AO101" s="48"/>
      <c r="AP101" s="48"/>
    </row>
    <row r="102" spans="1:45" x14ac:dyDescent="0.25">
      <c r="A102" s="21" t="s">
        <v>3</v>
      </c>
      <c r="B102" s="7"/>
      <c r="C102" s="4"/>
      <c r="D102" s="4"/>
      <c r="E102" s="4"/>
      <c r="F102" s="41">
        <f>F3</f>
        <v>17.399999999999999</v>
      </c>
      <c r="G102" s="4"/>
      <c r="H102" s="4"/>
      <c r="I102" s="8"/>
      <c r="J102" s="4"/>
      <c r="K102" s="7"/>
      <c r="L102" s="4"/>
      <c r="M102" s="4"/>
      <c r="N102" s="4"/>
      <c r="O102" s="41">
        <f>O3</f>
        <v>21.3</v>
      </c>
      <c r="P102" s="4"/>
      <c r="Q102" s="4"/>
      <c r="R102" s="8"/>
      <c r="S102" s="4"/>
      <c r="T102" s="7"/>
      <c r="U102" s="4"/>
      <c r="V102" s="4"/>
      <c r="W102" s="41"/>
      <c r="X102" s="41">
        <f>X3</f>
        <v>26.3</v>
      </c>
      <c r="Y102" s="4"/>
      <c r="Z102" s="4"/>
      <c r="AA102" s="8"/>
    </row>
    <row r="103" spans="1:45" x14ac:dyDescent="0.25">
      <c r="A103" s="20" t="s">
        <v>4</v>
      </c>
      <c r="B103" s="9"/>
      <c r="F103" s="6">
        <v>17</v>
      </c>
      <c r="I103" s="10"/>
      <c r="K103" s="9"/>
      <c r="O103" s="6">
        <v>21</v>
      </c>
      <c r="R103" s="10"/>
      <c r="T103" s="9"/>
      <c r="X103" s="6">
        <v>25</v>
      </c>
      <c r="AA103" s="10"/>
    </row>
    <row r="104" spans="1:45" x14ac:dyDescent="0.25">
      <c r="A104" s="15" t="s">
        <v>5</v>
      </c>
      <c r="B104" s="9"/>
      <c r="F104" s="3">
        <f>IF(F102&lt;4.4,1,IF(AND(F102&gt;=4.5,F102&lt;=11.4),2,IF(AND(F102&gt;=11.5,F102&lt;=18.4),3,IF(AND(F102&gt;=18.5,F102&lt;=26.4),4,IF(AND(F102&gt;=26.5,F102&lt;=36),5,IF(F102&gt;=36,6))))))</f>
        <v>3</v>
      </c>
      <c r="I104" s="10"/>
      <c r="K104" s="9"/>
      <c r="O104" s="3">
        <f>IF(O102&lt;4.4,1,IF(AND(O102&gt;=4.5,O102&lt;=11.4),2,IF(AND(O102&gt;=11.5,O102&lt;=18.4),3,IF(AND(O102&gt;=18.5,O102&lt;=26.4),4,IF(AND(O102&gt;=26.5,O102&lt;=36),5,IF(O102&gt;=36,6))))))</f>
        <v>4</v>
      </c>
      <c r="R104" s="10"/>
      <c r="T104" s="9"/>
      <c r="X104" s="3">
        <f>IF(X102&lt;4.4,1,IF(AND(X102&gt;=4.5,X102&lt;=11.4),2,IF(AND(X102&gt;=11.5,X102&lt;=18.4),3,IF(AND(X102&gt;=18.5,X102&lt;=26.4),4,IF(AND(X102&gt;=26.5,X102&lt;=36),5,IF(X102&gt;=36,6))))))</f>
        <v>4</v>
      </c>
      <c r="AA104" s="10"/>
    </row>
    <row r="105" spans="1:45" x14ac:dyDescent="0.25">
      <c r="A105" s="15" t="s">
        <v>6</v>
      </c>
      <c r="B105" s="9"/>
      <c r="F105" s="42">
        <f>VLOOKUP(F104,HCP!$A$6:$C$11,3,FALSE)</f>
        <v>33</v>
      </c>
      <c r="I105" s="10"/>
      <c r="K105" s="9"/>
      <c r="O105" s="42">
        <f>VLOOKUP(O104,HCP!$A$6:$C$11,3,FALSE)</f>
        <v>32</v>
      </c>
      <c r="R105" s="10"/>
      <c r="T105" s="9"/>
      <c r="X105" s="42">
        <f>VLOOKUP(X104,HCP!$A$6:$C$11,3,FALSE)</f>
        <v>32</v>
      </c>
      <c r="AA105" s="10"/>
    </row>
    <row r="106" spans="1:45" x14ac:dyDescent="0.25">
      <c r="A106" s="15"/>
      <c r="B106" s="9"/>
      <c r="F106" s="25" t="str">
        <f>IF(I130&gt;36,"Herabsetzung",IF(AND(I130&lt;=36,I130&gt;=F105),"Puffer","Heraufsetzung"))</f>
        <v>Heraufsetzung</v>
      </c>
      <c r="I106" s="10"/>
      <c r="K106" s="9"/>
      <c r="O106" s="25" t="str">
        <f>IF(R130&gt;36,"Herabsetzung",IF(AND(R130&lt;=36,R130&gt;=O105),"Puffer","Heraufsetzung"))</f>
        <v>Heraufsetzung</v>
      </c>
      <c r="R106" s="10"/>
      <c r="T106" s="9"/>
      <c r="X106" s="25" t="str">
        <f>IF(AA130&gt;36,"Herabsetzung",IF(AND(AA130&lt;=36,AA130&gt;=X105),"Puffer","Heraufsetzung"))</f>
        <v>Heraufsetzung</v>
      </c>
      <c r="AA106" s="10"/>
    </row>
    <row r="107" spans="1:45" x14ac:dyDescent="0.25">
      <c r="A107" s="15" t="s">
        <v>7</v>
      </c>
      <c r="B107" s="9"/>
      <c r="F107" s="42">
        <f>IF(F106="Heraufsetzung",INDEX(HCP!$C$395:$D$755,MATCH(F102,HCP!$C$394:$C$755,0),MATCH($A$8,HCP!$D$394,0)),IF(F106="Puffer",F102,IF(F106="Herabsetzung",INDEX(HCP!$C$29:$AK$389,MATCH(F102,HCP!$C$29:$C$389,0),MATCH(I130,HCP!$C$28:$AK$28,0)))))</f>
        <v>17.5</v>
      </c>
      <c r="I107" s="10"/>
      <c r="K107" s="9"/>
      <c r="O107" s="42">
        <f>IF(O106="Heraufsetzung",INDEX(HCP!$C$395:$D$755,MATCH(O102,HCP!$C$394:$C$755,0),MATCH($A$8,HCP!$D$394,0)),IF(O106="Puffer",O102,IF(O106="Herabsetzung",INDEX(HCP!$C$29:$AK$389,MATCH(O102,HCP!$C$29:$C$389,0),MATCH(R130,HCP!$C$28:$AK$28,0)))))</f>
        <v>21.4</v>
      </c>
      <c r="R107" s="10"/>
      <c r="T107" s="9"/>
      <c r="X107" s="42">
        <f>IF(X106="Heraufsetzung",INDEX(HCP!$C$395:$D$755,MATCH(X102,HCP!$C$394:$C$755,0),MATCH($A$8,HCP!$D$394,0)),IF(X106="Puffer",X102,IF(X106="Herabsetzung",INDEX(HCP!$C$29:$AK$389,MATCH(X102,HCP!$C$29:$C$389,0),MATCH(AA130,HCP!$C$28:$AK$28,0)))))</f>
        <v>26.4</v>
      </c>
      <c r="AA107" s="10"/>
    </row>
    <row r="108" spans="1:45" x14ac:dyDescent="0.25">
      <c r="B108" s="9"/>
      <c r="C108" t="s">
        <v>3</v>
      </c>
      <c r="D108" t="s">
        <v>8</v>
      </c>
      <c r="F108" t="s">
        <v>9</v>
      </c>
      <c r="G108" t="s">
        <v>10</v>
      </c>
      <c r="H108" t="s">
        <v>11</v>
      </c>
      <c r="I108" s="10" t="s">
        <v>12</v>
      </c>
      <c r="K108" s="9"/>
      <c r="L108" t="s">
        <v>3</v>
      </c>
      <c r="M108" t="s">
        <v>8</v>
      </c>
      <c r="O108" t="s">
        <v>9</v>
      </c>
      <c r="P108" t="s">
        <v>10</v>
      </c>
      <c r="Q108" t="s">
        <v>11</v>
      </c>
      <c r="R108" s="10" t="s">
        <v>12</v>
      </c>
      <c r="T108" s="9"/>
      <c r="U108" t="s">
        <v>3</v>
      </c>
      <c r="V108" t="s">
        <v>8</v>
      </c>
      <c r="X108" t="s">
        <v>9</v>
      </c>
      <c r="Y108" t="s">
        <v>10</v>
      </c>
      <c r="Z108" t="s">
        <v>11</v>
      </c>
      <c r="AA108" s="10" t="s">
        <v>12</v>
      </c>
      <c r="AC108" t="s">
        <v>34</v>
      </c>
      <c r="AD108" t="s">
        <v>35</v>
      </c>
      <c r="AE108" t="s">
        <v>35</v>
      </c>
      <c r="AF108" t="s">
        <v>36</v>
      </c>
      <c r="AH108" t="s">
        <v>34</v>
      </c>
      <c r="AI108" t="s">
        <v>35</v>
      </c>
      <c r="AJ108" t="s">
        <v>35</v>
      </c>
      <c r="AK108" t="s">
        <v>36</v>
      </c>
      <c r="AM108" t="s">
        <v>34</v>
      </c>
      <c r="AN108" t="s">
        <v>35</v>
      </c>
      <c r="AO108" t="s">
        <v>35</v>
      </c>
      <c r="AP108" t="s">
        <v>36</v>
      </c>
    </row>
    <row r="109" spans="1:45" x14ac:dyDescent="0.25">
      <c r="B109" s="9" t="s">
        <v>13</v>
      </c>
      <c r="C109" s="3">
        <v>3</v>
      </c>
      <c r="D109" s="3">
        <v>4</v>
      </c>
      <c r="F109">
        <f>INDEX(Basis!$C$2:$BJ$19,MATCH($C109,Basis!$B$2:$B$19,0),MATCH(F$103,Basis!$C$1:$BJ$1,0))</f>
        <v>1</v>
      </c>
      <c r="G109" s="3"/>
      <c r="H109" s="3">
        <f>IF(G109="",0,IF(G109-D109=0,2,IF(G109-D109=-1,3,IF(G109-D109=-2,4,IF(G109-D109=-3,5,IF(G109-D109=-4,6,IF(G109-D109=1,1,IF(G109-D109&gt;=2,0,))))))))</f>
        <v>0</v>
      </c>
      <c r="I109" s="11">
        <f t="shared" ref="I109:I126" si="93">IF(G109="",0,IF(G109-F109-D109=0,2,IF(G109-F109-D109=-1,3,IF(G109-F109-D109=-2,4,IF(G109-F109-D109=-3,5,IF(G109-F109-D109=-4,6,IF(G109-F109-D109=1,1,IF(G109-F109-D109&gt;=2,0,))))))))</f>
        <v>0</v>
      </c>
      <c r="K109" s="9" t="s">
        <v>13</v>
      </c>
      <c r="L109" s="3">
        <f t="shared" ref="L109:L126" si="94">C109</f>
        <v>3</v>
      </c>
      <c r="M109" s="3">
        <f t="shared" ref="M109:M126" si="95">D109</f>
        <v>4</v>
      </c>
      <c r="O109">
        <f>INDEX(Basis!$C$2:$BJ$19,MATCH($C109,Basis!$B$2:$B$19,0),MATCH(O$103,Basis!$C$1:$BJ$1,0))</f>
        <v>2</v>
      </c>
      <c r="P109" s="3"/>
      <c r="Q109" s="3">
        <f>IF(P109="",0,IF(P109-M109=0,2,IF(P109-M109=-1,3,IF(P109-M109=-2,4,IF(P109-M109=-3,5,IF(P109-M109=-4,6,IF(P109-M109=1,1,IF(P109-M109&gt;=2,0,))))))))</f>
        <v>0</v>
      </c>
      <c r="R109" s="11">
        <f>IF(P109="",0,IF(P109-O109-M109=0,2,IF(P109-O109-M109=-1,3,IF(P109-O109-M109=-2,4,IF(P109-O109-M109=-3,5,IF(P109-O109-M109=-4,6,IF(P109-O109-M109=1,1,IF(P109-O109-M109&gt;=2,0,))))))))</f>
        <v>0</v>
      </c>
      <c r="T109" s="9" t="s">
        <v>13</v>
      </c>
      <c r="U109" s="3">
        <f>C109</f>
        <v>3</v>
      </c>
      <c r="V109" s="3">
        <f>D109</f>
        <v>4</v>
      </c>
      <c r="X109">
        <f>INDEX(Basis!$C$2:$BJ$19,MATCH($C109,Basis!$B$2:$B$19,0),MATCH(X$103,Basis!$C$1:$BJ$1,0))</f>
        <v>2</v>
      </c>
      <c r="Y109" s="3"/>
      <c r="Z109" s="3">
        <f>IF(Y109="",0,IF(Y109-V109=0,2,IF(Y109-V109=-1,3,IF(Y109-V109=-2,4,IF(Y109-V109=-3,5,IF(Y109-V109=-4,6,IF(Y109-V109=1,1,IF(Y109-V109&gt;=2,0,))))))))</f>
        <v>0</v>
      </c>
      <c r="AA109" s="11">
        <f>IF(Y109="",0,IF(Y109-X109-V109=0,2,IF(Y109-X109-V109=-1,3,IF(Y109-X109-V109=-2,4,IF(Y109-X109-V109=-3,5,IF(Y109-X109-V109=-4,6,IF(Y109-X109-V109=1,1,IF(Y109-X109-V109&gt;=2,0,))))))))</f>
        <v>0</v>
      </c>
      <c r="AC109">
        <f>IF(AND(G109&lt;P109,G109&lt;Y109),2,0)</f>
        <v>0</v>
      </c>
      <c r="AD109">
        <f>IF(AND(G109&lt;P109,G109=Y109),1,0)</f>
        <v>0</v>
      </c>
      <c r="AE109">
        <f>IF(AND(G109=P109,G109&lt;Y109),1,0)</f>
        <v>0</v>
      </c>
      <c r="AF109">
        <f>IF(AND(G109=P109,G109=Y109),1,0)</f>
        <v>1</v>
      </c>
      <c r="AH109">
        <f>IF(AND(P109&lt;G109,P109&lt;Y109),2,0)</f>
        <v>0</v>
      </c>
      <c r="AI109">
        <f>IF(AND(P109=G109,P109&lt;Y109),1,0)</f>
        <v>0</v>
      </c>
      <c r="AJ109">
        <f>IF(AND(P109=Y109,P109&lt;G109),1,0)</f>
        <v>0</v>
      </c>
      <c r="AK109">
        <f>IF(AND(P109=G109,P109=Y109),1,0)</f>
        <v>1</v>
      </c>
      <c r="AM109">
        <f>IF(AND(Y109&lt;G109,Y109&lt;P109),2,0)</f>
        <v>0</v>
      </c>
      <c r="AN109">
        <f>IF(AND(Y109=G109,Y109&lt;P109),1,0)</f>
        <v>0</v>
      </c>
      <c r="AO109">
        <f>IF(AND(Y109=P109,Y109&lt;G109),1,0)</f>
        <v>0</v>
      </c>
      <c r="AP109">
        <f>IF(AND(Y109=G109,Y109=P109),1,0)</f>
        <v>1</v>
      </c>
    </row>
    <row r="110" spans="1:45" x14ac:dyDescent="0.25">
      <c r="B110" s="9" t="s">
        <v>14</v>
      </c>
      <c r="C110" s="3">
        <v>11</v>
      </c>
      <c r="D110" s="3">
        <v>4</v>
      </c>
      <c r="F110">
        <f>INDEX(Basis!$C$2:$BJ$19,MATCH($C110,Basis!$B$2:$B$19,0),MATCH(F$103,Basis!$C$1:$BJ$1,0))</f>
        <v>1</v>
      </c>
      <c r="G110" s="3"/>
      <c r="H110" s="3">
        <f t="shared" ref="H110:H126" si="96">IF(G110="",0,IF(G110-D110=0,2,IF(G110-D110=-1,3,IF(G110-D110=-2,4,IF(G110-D110=-3,5,IF(G110-D110=-4,6,IF(G110-D110=1,1,IF(G110-D110&gt;=2,0,))))))))</f>
        <v>0</v>
      </c>
      <c r="I110" s="11">
        <f t="shared" si="93"/>
        <v>0</v>
      </c>
      <c r="K110" s="9" t="s">
        <v>14</v>
      </c>
      <c r="L110" s="3">
        <f t="shared" si="94"/>
        <v>11</v>
      </c>
      <c r="M110" s="3">
        <f t="shared" si="95"/>
        <v>4</v>
      </c>
      <c r="O110">
        <f>INDEX(Basis!$C$2:$BJ$19,MATCH($C110,Basis!$B$2:$B$19,0),MATCH(O$103,Basis!$C$1:$BJ$1,0))</f>
        <v>1</v>
      </c>
      <c r="P110" s="3"/>
      <c r="Q110" s="3">
        <f t="shared" ref="Q110:Q126" si="97">IF(P110="",0,IF(P110-M110=0,2,IF(P110-M110=-1,3,IF(P110-M110=-2,4,IF(P110-M110=-3,5,IF(P110-M110=-4,6,IF(P110-M110=1,1,IF(P110-M110&gt;=2,0,))))))))</f>
        <v>0</v>
      </c>
      <c r="R110" s="11">
        <f t="shared" ref="R110:R126" si="98">IF(P110="",0,IF(P110-O110-M110=0,2,IF(P110-O110-M110=-1,3,IF(P110-O110-M110=-2,4,IF(P110-O110-M110=-3,5,IF(P110-O110-M110=-4,6,IF(P110-O110-M110=1,1,IF(P110-O110-M110&gt;=2,0,))))))))</f>
        <v>0</v>
      </c>
      <c r="T110" s="9" t="s">
        <v>14</v>
      </c>
      <c r="U110" s="3">
        <f t="shared" ref="U110:U126" si="99">C110</f>
        <v>11</v>
      </c>
      <c r="V110" s="3">
        <f t="shared" ref="V110:V126" si="100">D110</f>
        <v>4</v>
      </c>
      <c r="X110">
        <f>INDEX(Basis!$C$2:$BJ$19,MATCH($C110,Basis!$B$2:$B$19,0),MATCH(X$103,Basis!$C$1:$BJ$1,0))</f>
        <v>1</v>
      </c>
      <c r="Y110" s="3"/>
      <c r="Z110" s="3">
        <f t="shared" ref="Z110:Z126" si="101">IF(Y110="",0,IF(Y110-V110=0,2,IF(Y110-V110=-1,3,IF(Y110-V110=-2,4,IF(Y110-V110=-3,5,IF(Y110-V110=-4,6,IF(Y110-V110=1,1,IF(Y110-V110&gt;=2,0,))))))))</f>
        <v>0</v>
      </c>
      <c r="AA110" s="11">
        <f t="shared" ref="AA110:AA126" si="102">IF(Y110="",0,IF(Y110-X110-V110=0,2,IF(Y110-X110-V110=-1,3,IF(Y110-X110-V110=-2,4,IF(Y110-X110-V110=-3,5,IF(Y110-X110-V110=-4,6,IF(Y110-X110-V110=1,1,IF(Y110-X110-V110&gt;=2,0,))))))))</f>
        <v>0</v>
      </c>
      <c r="AC110">
        <f t="shared" ref="AC110:AC126" si="103">IF(AND(G110&lt;P110,G110&lt;Y110),2,0)</f>
        <v>0</v>
      </c>
      <c r="AD110">
        <f t="shared" ref="AD110:AD126" si="104">IF(AND(G110&lt;P110,G110=Y110),1,0)</f>
        <v>0</v>
      </c>
      <c r="AE110">
        <f t="shared" ref="AE110:AE126" si="105">IF(AND(G110=P110,G110&lt;Y110),1,0)</f>
        <v>0</v>
      </c>
      <c r="AF110">
        <f t="shared" ref="AF110:AF126" si="106">IF(AND(G110=P110,G110=Y110),1,0)</f>
        <v>1</v>
      </c>
      <c r="AH110">
        <f t="shared" ref="AH110:AH126" si="107">IF(AND(P110&lt;G110,P110&lt;Y110),2,0)</f>
        <v>0</v>
      </c>
      <c r="AI110">
        <f t="shared" ref="AI110:AI126" si="108">IF(AND(P110=G110,P110&lt;Y110),1,0)</f>
        <v>0</v>
      </c>
      <c r="AJ110">
        <f t="shared" ref="AJ110:AJ126" si="109">IF(AND(P110=Y110,P110&lt;G110),1,0)</f>
        <v>0</v>
      </c>
      <c r="AK110">
        <f t="shared" ref="AK110:AK126" si="110">IF(AND(P110=G110,P110=Y110),1,0)</f>
        <v>1</v>
      </c>
      <c r="AM110">
        <f t="shared" ref="AM110:AM126" si="111">IF(AND(Y110&lt;G110,Y110&lt;P110),2,0)</f>
        <v>0</v>
      </c>
      <c r="AN110">
        <f t="shared" ref="AN110:AN126" si="112">IF(AND(Y110=G110,Y110&lt;P110),1,0)</f>
        <v>0</v>
      </c>
      <c r="AO110">
        <f t="shared" ref="AO110:AO126" si="113">IF(AND(Y110=P110,Y110&lt;G110),1,0)</f>
        <v>0</v>
      </c>
      <c r="AP110">
        <f t="shared" ref="AP110:AP126" si="114">IF(AND(Y110=G110,Y110=P110),1,0)</f>
        <v>1</v>
      </c>
    </row>
    <row r="111" spans="1:45" x14ac:dyDescent="0.25">
      <c r="B111" s="9" t="s">
        <v>15</v>
      </c>
      <c r="C111" s="3">
        <v>7</v>
      </c>
      <c r="D111" s="3">
        <v>5</v>
      </c>
      <c r="F111">
        <f>INDEX(Basis!$C$2:$BJ$19,MATCH($C111,Basis!$B$2:$B$19,0),MATCH(F$103,Basis!$C$1:$BJ$1,0))</f>
        <v>1</v>
      </c>
      <c r="G111" s="3"/>
      <c r="H111" s="3">
        <f t="shared" si="96"/>
        <v>0</v>
      </c>
      <c r="I111" s="11">
        <f t="shared" si="93"/>
        <v>0</v>
      </c>
      <c r="K111" s="9" t="s">
        <v>15</v>
      </c>
      <c r="L111" s="3">
        <f t="shared" si="94"/>
        <v>7</v>
      </c>
      <c r="M111" s="3">
        <f t="shared" si="95"/>
        <v>5</v>
      </c>
      <c r="O111">
        <f>INDEX(Basis!$C$2:$BJ$19,MATCH($C111,Basis!$B$2:$B$19,0),MATCH(O$103,Basis!$C$1:$BJ$1,0))</f>
        <v>1</v>
      </c>
      <c r="P111" s="3"/>
      <c r="Q111" s="3">
        <f t="shared" si="97"/>
        <v>0</v>
      </c>
      <c r="R111" s="11">
        <f t="shared" si="98"/>
        <v>0</v>
      </c>
      <c r="T111" s="9" t="s">
        <v>15</v>
      </c>
      <c r="U111" s="3">
        <f t="shared" si="99"/>
        <v>7</v>
      </c>
      <c r="V111" s="3">
        <f t="shared" si="100"/>
        <v>5</v>
      </c>
      <c r="X111">
        <f>INDEX(Basis!$C$2:$BJ$19,MATCH($C111,Basis!$B$2:$B$19,0),MATCH(X$103,Basis!$C$1:$BJ$1,0))</f>
        <v>2</v>
      </c>
      <c r="Y111" s="3"/>
      <c r="Z111" s="3">
        <f t="shared" si="101"/>
        <v>0</v>
      </c>
      <c r="AA111" s="11">
        <f t="shared" si="102"/>
        <v>0</v>
      </c>
      <c r="AC111">
        <f t="shared" si="103"/>
        <v>0</v>
      </c>
      <c r="AD111">
        <f t="shared" si="104"/>
        <v>0</v>
      </c>
      <c r="AE111">
        <f t="shared" si="105"/>
        <v>0</v>
      </c>
      <c r="AF111">
        <f t="shared" si="106"/>
        <v>1</v>
      </c>
      <c r="AH111">
        <f t="shared" si="107"/>
        <v>0</v>
      </c>
      <c r="AI111">
        <f t="shared" si="108"/>
        <v>0</v>
      </c>
      <c r="AJ111">
        <f t="shared" si="109"/>
        <v>0</v>
      </c>
      <c r="AK111">
        <f t="shared" si="110"/>
        <v>1</v>
      </c>
      <c r="AM111">
        <f t="shared" si="111"/>
        <v>0</v>
      </c>
      <c r="AN111">
        <f t="shared" si="112"/>
        <v>0</v>
      </c>
      <c r="AO111">
        <f t="shared" si="113"/>
        <v>0</v>
      </c>
      <c r="AP111">
        <f t="shared" si="114"/>
        <v>1</v>
      </c>
    </row>
    <row r="112" spans="1:45" x14ac:dyDescent="0.25">
      <c r="B112" s="9" t="s">
        <v>16</v>
      </c>
      <c r="C112" s="3">
        <v>15</v>
      </c>
      <c r="D112" s="3">
        <v>3</v>
      </c>
      <c r="F112">
        <f>INDEX(Basis!$C$2:$BJ$19,MATCH($C112,Basis!$B$2:$B$19,0),MATCH(F$103,Basis!$C$1:$BJ$1,0))</f>
        <v>1</v>
      </c>
      <c r="G112" s="3"/>
      <c r="H112" s="3">
        <f t="shared" si="96"/>
        <v>0</v>
      </c>
      <c r="I112" s="11">
        <f t="shared" si="93"/>
        <v>0</v>
      </c>
      <c r="K112" s="9" t="s">
        <v>16</v>
      </c>
      <c r="L112" s="3">
        <f t="shared" si="94"/>
        <v>15</v>
      </c>
      <c r="M112" s="3">
        <f t="shared" si="95"/>
        <v>3</v>
      </c>
      <c r="O112">
        <f>INDEX(Basis!$C$2:$BJ$19,MATCH($C112,Basis!$B$2:$B$19,0),MATCH(O$103,Basis!$C$1:$BJ$1,0))</f>
        <v>1</v>
      </c>
      <c r="P112" s="3"/>
      <c r="Q112" s="3">
        <f t="shared" si="97"/>
        <v>0</v>
      </c>
      <c r="R112" s="11">
        <f t="shared" si="98"/>
        <v>0</v>
      </c>
      <c r="T112" s="9" t="s">
        <v>16</v>
      </c>
      <c r="U112" s="3">
        <f t="shared" si="99"/>
        <v>15</v>
      </c>
      <c r="V112" s="3">
        <f t="shared" si="100"/>
        <v>3</v>
      </c>
      <c r="X112">
        <f>INDEX(Basis!$C$2:$BJ$19,MATCH($C112,Basis!$B$2:$B$19,0),MATCH(X$103,Basis!$C$1:$BJ$1,0))</f>
        <v>1</v>
      </c>
      <c r="Y112" s="3"/>
      <c r="Z112" s="3">
        <f t="shared" si="101"/>
        <v>0</v>
      </c>
      <c r="AA112" s="11">
        <f t="shared" si="102"/>
        <v>0</v>
      </c>
      <c r="AC112">
        <f t="shared" si="103"/>
        <v>0</v>
      </c>
      <c r="AD112">
        <f t="shared" si="104"/>
        <v>0</v>
      </c>
      <c r="AE112">
        <f t="shared" si="105"/>
        <v>0</v>
      </c>
      <c r="AF112">
        <f t="shared" si="106"/>
        <v>1</v>
      </c>
      <c r="AH112">
        <f t="shared" si="107"/>
        <v>0</v>
      </c>
      <c r="AI112">
        <f t="shared" si="108"/>
        <v>0</v>
      </c>
      <c r="AJ112">
        <f t="shared" si="109"/>
        <v>0</v>
      </c>
      <c r="AK112">
        <f t="shared" si="110"/>
        <v>1</v>
      </c>
      <c r="AM112">
        <f t="shared" si="111"/>
        <v>0</v>
      </c>
      <c r="AN112">
        <f t="shared" si="112"/>
        <v>0</v>
      </c>
      <c r="AO112">
        <f t="shared" si="113"/>
        <v>0</v>
      </c>
      <c r="AP112">
        <f t="shared" si="114"/>
        <v>1</v>
      </c>
    </row>
    <row r="113" spans="2:42" x14ac:dyDescent="0.25">
      <c r="B113" s="9" t="s">
        <v>17</v>
      </c>
      <c r="C113" s="3">
        <v>5</v>
      </c>
      <c r="D113" s="3">
        <v>4</v>
      </c>
      <c r="F113">
        <f>INDEX(Basis!$C$2:$BJ$19,MATCH($C113,Basis!$B$2:$B$19,0),MATCH(F$103,Basis!$C$1:$BJ$1,0))</f>
        <v>1</v>
      </c>
      <c r="G113" s="3"/>
      <c r="H113" s="3">
        <f t="shared" si="96"/>
        <v>0</v>
      </c>
      <c r="I113" s="11">
        <f t="shared" si="93"/>
        <v>0</v>
      </c>
      <c r="K113" s="9" t="s">
        <v>17</v>
      </c>
      <c r="L113" s="3">
        <f t="shared" si="94"/>
        <v>5</v>
      </c>
      <c r="M113" s="3">
        <f t="shared" si="95"/>
        <v>4</v>
      </c>
      <c r="O113">
        <f>INDEX(Basis!$C$2:$BJ$19,MATCH($C113,Basis!$B$2:$B$19,0),MATCH(O$103,Basis!$C$1:$BJ$1,0))</f>
        <v>1</v>
      </c>
      <c r="P113" s="3"/>
      <c r="Q113" s="3">
        <f t="shared" si="97"/>
        <v>0</v>
      </c>
      <c r="R113" s="11">
        <f t="shared" si="98"/>
        <v>0</v>
      </c>
      <c r="T113" s="9" t="s">
        <v>17</v>
      </c>
      <c r="U113" s="3">
        <f t="shared" si="99"/>
        <v>5</v>
      </c>
      <c r="V113" s="3">
        <f t="shared" si="100"/>
        <v>4</v>
      </c>
      <c r="X113">
        <f>INDEX(Basis!$C$2:$BJ$19,MATCH($C113,Basis!$B$2:$B$19,0),MATCH(X$103,Basis!$C$1:$BJ$1,0))</f>
        <v>2</v>
      </c>
      <c r="Y113" s="3"/>
      <c r="Z113" s="3">
        <f t="shared" si="101"/>
        <v>0</v>
      </c>
      <c r="AA113" s="11">
        <f t="shared" si="102"/>
        <v>0</v>
      </c>
      <c r="AC113">
        <f t="shared" si="103"/>
        <v>0</v>
      </c>
      <c r="AD113">
        <f t="shared" si="104"/>
        <v>0</v>
      </c>
      <c r="AE113">
        <f t="shared" si="105"/>
        <v>0</v>
      </c>
      <c r="AF113">
        <f t="shared" si="106"/>
        <v>1</v>
      </c>
      <c r="AH113">
        <f t="shared" si="107"/>
        <v>0</v>
      </c>
      <c r="AI113">
        <f t="shared" si="108"/>
        <v>0</v>
      </c>
      <c r="AJ113">
        <f t="shared" si="109"/>
        <v>0</v>
      </c>
      <c r="AK113">
        <f t="shared" si="110"/>
        <v>1</v>
      </c>
      <c r="AM113">
        <f t="shared" si="111"/>
        <v>0</v>
      </c>
      <c r="AN113">
        <f t="shared" si="112"/>
        <v>0</v>
      </c>
      <c r="AO113">
        <f t="shared" si="113"/>
        <v>0</v>
      </c>
      <c r="AP113">
        <f t="shared" si="114"/>
        <v>1</v>
      </c>
    </row>
    <row r="114" spans="2:42" x14ac:dyDescent="0.25">
      <c r="B114" s="9" t="s">
        <v>18</v>
      </c>
      <c r="C114" s="3">
        <v>17</v>
      </c>
      <c r="D114" s="3">
        <v>4</v>
      </c>
      <c r="F114">
        <f>INDEX(Basis!$C$2:$BJ$19,MATCH($C114,Basis!$B$2:$B$19,0),MATCH(F$103,Basis!$C$1:$BJ$1,0))</f>
        <v>1</v>
      </c>
      <c r="G114" s="3"/>
      <c r="H114" s="3">
        <f t="shared" si="96"/>
        <v>0</v>
      </c>
      <c r="I114" s="11">
        <f t="shared" si="93"/>
        <v>0</v>
      </c>
      <c r="K114" s="9" t="s">
        <v>18</v>
      </c>
      <c r="L114" s="3">
        <f t="shared" si="94"/>
        <v>17</v>
      </c>
      <c r="M114" s="3">
        <f t="shared" si="95"/>
        <v>4</v>
      </c>
      <c r="O114">
        <f>INDEX(Basis!$C$2:$BJ$19,MATCH($C114,Basis!$B$2:$B$19,0),MATCH(O$103,Basis!$C$1:$BJ$1,0))</f>
        <v>1</v>
      </c>
      <c r="P114" s="3"/>
      <c r="Q114" s="3">
        <f t="shared" si="97"/>
        <v>0</v>
      </c>
      <c r="R114" s="11">
        <f t="shared" si="98"/>
        <v>0</v>
      </c>
      <c r="T114" s="9" t="s">
        <v>18</v>
      </c>
      <c r="U114" s="3">
        <f t="shared" si="99"/>
        <v>17</v>
      </c>
      <c r="V114" s="3">
        <f t="shared" si="100"/>
        <v>4</v>
      </c>
      <c r="X114">
        <f>INDEX(Basis!$C$2:$BJ$19,MATCH($C114,Basis!$B$2:$B$19,0),MATCH(X$103,Basis!$C$1:$BJ$1,0))</f>
        <v>1</v>
      </c>
      <c r="Y114" s="3"/>
      <c r="Z114" s="3">
        <f t="shared" si="101"/>
        <v>0</v>
      </c>
      <c r="AA114" s="11">
        <f t="shared" si="102"/>
        <v>0</v>
      </c>
      <c r="AC114">
        <f t="shared" si="103"/>
        <v>0</v>
      </c>
      <c r="AD114">
        <f t="shared" si="104"/>
        <v>0</v>
      </c>
      <c r="AE114">
        <f t="shared" si="105"/>
        <v>0</v>
      </c>
      <c r="AF114">
        <f t="shared" si="106"/>
        <v>1</v>
      </c>
      <c r="AH114">
        <f t="shared" si="107"/>
        <v>0</v>
      </c>
      <c r="AI114">
        <f t="shared" si="108"/>
        <v>0</v>
      </c>
      <c r="AJ114">
        <f t="shared" si="109"/>
        <v>0</v>
      </c>
      <c r="AK114">
        <f t="shared" si="110"/>
        <v>1</v>
      </c>
      <c r="AM114">
        <f t="shared" si="111"/>
        <v>0</v>
      </c>
      <c r="AN114">
        <f t="shared" si="112"/>
        <v>0</v>
      </c>
      <c r="AO114">
        <f t="shared" si="113"/>
        <v>0</v>
      </c>
      <c r="AP114">
        <f t="shared" si="114"/>
        <v>1</v>
      </c>
    </row>
    <row r="115" spans="2:42" x14ac:dyDescent="0.25">
      <c r="B115" s="9" t="s">
        <v>19</v>
      </c>
      <c r="C115" s="3">
        <v>9</v>
      </c>
      <c r="D115" s="3">
        <v>4</v>
      </c>
      <c r="F115">
        <f>INDEX(Basis!$C$2:$BJ$19,MATCH($C115,Basis!$B$2:$B$19,0),MATCH(F$103,Basis!$C$1:$BJ$1,0))</f>
        <v>1</v>
      </c>
      <c r="G115" s="3"/>
      <c r="H115" s="3">
        <f t="shared" si="96"/>
        <v>0</v>
      </c>
      <c r="I115" s="11">
        <f t="shared" si="93"/>
        <v>0</v>
      </c>
      <c r="K115" s="9" t="s">
        <v>19</v>
      </c>
      <c r="L115" s="3">
        <f t="shared" si="94"/>
        <v>9</v>
      </c>
      <c r="M115" s="3">
        <f t="shared" si="95"/>
        <v>4</v>
      </c>
      <c r="O115">
        <f>INDEX(Basis!$C$2:$BJ$19,MATCH($C115,Basis!$B$2:$B$19,0),MATCH(O$103,Basis!$C$1:$BJ$1,0))</f>
        <v>1</v>
      </c>
      <c r="P115" s="3"/>
      <c r="Q115" s="3">
        <f t="shared" si="97"/>
        <v>0</v>
      </c>
      <c r="R115" s="11">
        <f t="shared" si="98"/>
        <v>0</v>
      </c>
      <c r="T115" s="9" t="s">
        <v>19</v>
      </c>
      <c r="U115" s="3">
        <f t="shared" si="99"/>
        <v>9</v>
      </c>
      <c r="V115" s="3">
        <f t="shared" si="100"/>
        <v>4</v>
      </c>
      <c r="X115">
        <f>INDEX(Basis!$C$2:$BJ$19,MATCH($C115,Basis!$B$2:$B$19,0),MATCH(X$103,Basis!$C$1:$BJ$1,0))</f>
        <v>1</v>
      </c>
      <c r="Y115" s="3"/>
      <c r="Z115" s="3">
        <f t="shared" si="101"/>
        <v>0</v>
      </c>
      <c r="AA115" s="11">
        <f t="shared" si="102"/>
        <v>0</v>
      </c>
      <c r="AC115">
        <f t="shared" si="103"/>
        <v>0</v>
      </c>
      <c r="AD115">
        <f t="shared" si="104"/>
        <v>0</v>
      </c>
      <c r="AE115">
        <f t="shared" si="105"/>
        <v>0</v>
      </c>
      <c r="AF115">
        <f t="shared" si="106"/>
        <v>1</v>
      </c>
      <c r="AH115">
        <f t="shared" si="107"/>
        <v>0</v>
      </c>
      <c r="AI115">
        <f t="shared" si="108"/>
        <v>0</v>
      </c>
      <c r="AJ115">
        <f t="shared" si="109"/>
        <v>0</v>
      </c>
      <c r="AK115">
        <f t="shared" si="110"/>
        <v>1</v>
      </c>
      <c r="AM115">
        <f t="shared" si="111"/>
        <v>0</v>
      </c>
      <c r="AN115">
        <f t="shared" si="112"/>
        <v>0</v>
      </c>
      <c r="AO115">
        <f t="shared" si="113"/>
        <v>0</v>
      </c>
      <c r="AP115">
        <f t="shared" si="114"/>
        <v>1</v>
      </c>
    </row>
    <row r="116" spans="2:42" x14ac:dyDescent="0.25">
      <c r="B116" s="9" t="s">
        <v>20</v>
      </c>
      <c r="C116" s="3">
        <v>1</v>
      </c>
      <c r="D116" s="3">
        <v>5</v>
      </c>
      <c r="F116">
        <f>INDEX(Basis!$C$2:$BJ$19,MATCH($C116,Basis!$B$2:$B$19,0),MATCH(F$103,Basis!$C$1:$BJ$1,0))</f>
        <v>1</v>
      </c>
      <c r="G116" s="3"/>
      <c r="H116" s="3">
        <f t="shared" si="96"/>
        <v>0</v>
      </c>
      <c r="I116" s="11">
        <f t="shared" si="93"/>
        <v>0</v>
      </c>
      <c r="K116" s="9" t="s">
        <v>20</v>
      </c>
      <c r="L116" s="3">
        <f t="shared" si="94"/>
        <v>1</v>
      </c>
      <c r="M116" s="3">
        <f t="shared" si="95"/>
        <v>5</v>
      </c>
      <c r="O116">
        <f>INDEX(Basis!$C$2:$BJ$19,MATCH($C116,Basis!$B$2:$B$19,0),MATCH(O$103,Basis!$C$1:$BJ$1,0))</f>
        <v>2</v>
      </c>
      <c r="P116" s="3"/>
      <c r="Q116" s="3">
        <f t="shared" si="97"/>
        <v>0</v>
      </c>
      <c r="R116" s="11">
        <f t="shared" si="98"/>
        <v>0</v>
      </c>
      <c r="T116" s="9" t="s">
        <v>20</v>
      </c>
      <c r="U116" s="3">
        <f t="shared" si="99"/>
        <v>1</v>
      </c>
      <c r="V116" s="3">
        <f t="shared" si="100"/>
        <v>5</v>
      </c>
      <c r="X116">
        <f>INDEX(Basis!$C$2:$BJ$19,MATCH($C116,Basis!$B$2:$B$19,0),MATCH(X$103,Basis!$C$1:$BJ$1,0))</f>
        <v>2</v>
      </c>
      <c r="Y116" s="3"/>
      <c r="Z116" s="3">
        <f t="shared" si="101"/>
        <v>0</v>
      </c>
      <c r="AA116" s="11">
        <f t="shared" si="102"/>
        <v>0</v>
      </c>
      <c r="AC116">
        <f t="shared" si="103"/>
        <v>0</v>
      </c>
      <c r="AD116">
        <f t="shared" si="104"/>
        <v>0</v>
      </c>
      <c r="AE116">
        <f t="shared" si="105"/>
        <v>0</v>
      </c>
      <c r="AF116">
        <f t="shared" si="106"/>
        <v>1</v>
      </c>
      <c r="AH116">
        <f t="shared" si="107"/>
        <v>0</v>
      </c>
      <c r="AI116">
        <f t="shared" si="108"/>
        <v>0</v>
      </c>
      <c r="AJ116">
        <f t="shared" si="109"/>
        <v>0</v>
      </c>
      <c r="AK116">
        <f t="shared" si="110"/>
        <v>1</v>
      </c>
      <c r="AM116">
        <f t="shared" si="111"/>
        <v>0</v>
      </c>
      <c r="AN116">
        <f t="shared" si="112"/>
        <v>0</v>
      </c>
      <c r="AO116">
        <f t="shared" si="113"/>
        <v>0</v>
      </c>
      <c r="AP116">
        <f t="shared" si="114"/>
        <v>1</v>
      </c>
    </row>
    <row r="117" spans="2:42" x14ac:dyDescent="0.25">
      <c r="B117" s="9" t="s">
        <v>21</v>
      </c>
      <c r="C117" s="3">
        <v>13</v>
      </c>
      <c r="D117" s="3">
        <v>3</v>
      </c>
      <c r="F117">
        <f>INDEX(Basis!$C$2:$BJ$19,MATCH($C117,Basis!$B$2:$B$19,0),MATCH(F$103,Basis!$C$1:$BJ$1,0))</f>
        <v>1</v>
      </c>
      <c r="G117" s="3"/>
      <c r="H117" s="3">
        <f t="shared" si="96"/>
        <v>0</v>
      </c>
      <c r="I117" s="11">
        <f t="shared" si="93"/>
        <v>0</v>
      </c>
      <c r="K117" s="9" t="s">
        <v>21</v>
      </c>
      <c r="L117" s="3">
        <f t="shared" si="94"/>
        <v>13</v>
      </c>
      <c r="M117" s="3">
        <f t="shared" si="95"/>
        <v>3</v>
      </c>
      <c r="O117">
        <f>INDEX(Basis!$C$2:$BJ$19,MATCH($C117,Basis!$B$2:$B$19,0),MATCH(O$103,Basis!$C$1:$BJ$1,0))</f>
        <v>1</v>
      </c>
      <c r="P117" s="3"/>
      <c r="Q117" s="3">
        <f t="shared" si="97"/>
        <v>0</v>
      </c>
      <c r="R117" s="11">
        <f t="shared" si="98"/>
        <v>0</v>
      </c>
      <c r="T117" s="9" t="s">
        <v>21</v>
      </c>
      <c r="U117" s="3">
        <f t="shared" si="99"/>
        <v>13</v>
      </c>
      <c r="V117" s="3">
        <f t="shared" si="100"/>
        <v>3</v>
      </c>
      <c r="X117">
        <f>INDEX(Basis!$C$2:$BJ$19,MATCH($C117,Basis!$B$2:$B$19,0),MATCH(X$103,Basis!$C$1:$BJ$1,0))</f>
        <v>1</v>
      </c>
      <c r="Y117" s="3"/>
      <c r="Z117" s="3">
        <f t="shared" si="101"/>
        <v>0</v>
      </c>
      <c r="AA117" s="11">
        <f t="shared" si="102"/>
        <v>0</v>
      </c>
      <c r="AC117">
        <f t="shared" si="103"/>
        <v>0</v>
      </c>
      <c r="AD117">
        <f t="shared" si="104"/>
        <v>0</v>
      </c>
      <c r="AE117">
        <f t="shared" si="105"/>
        <v>0</v>
      </c>
      <c r="AF117">
        <f t="shared" si="106"/>
        <v>1</v>
      </c>
      <c r="AH117">
        <f t="shared" si="107"/>
        <v>0</v>
      </c>
      <c r="AI117">
        <f t="shared" si="108"/>
        <v>0</v>
      </c>
      <c r="AJ117">
        <f t="shared" si="109"/>
        <v>0</v>
      </c>
      <c r="AK117">
        <f t="shared" si="110"/>
        <v>1</v>
      </c>
      <c r="AM117">
        <f t="shared" si="111"/>
        <v>0</v>
      </c>
      <c r="AN117">
        <f t="shared" si="112"/>
        <v>0</v>
      </c>
      <c r="AO117">
        <f t="shared" si="113"/>
        <v>0</v>
      </c>
      <c r="AP117">
        <f t="shared" si="114"/>
        <v>1</v>
      </c>
    </row>
    <row r="118" spans="2:42" x14ac:dyDescent="0.25">
      <c r="B118" s="9" t="s">
        <v>22</v>
      </c>
      <c r="C118" s="3">
        <v>14</v>
      </c>
      <c r="D118" s="3">
        <v>4</v>
      </c>
      <c r="F118">
        <f>INDEX(Basis!$C$2:$BJ$19,MATCH($C118,Basis!$B$2:$B$19,0),MATCH(F$103,Basis!$C$1:$BJ$1,0))</f>
        <v>1</v>
      </c>
      <c r="G118" s="3"/>
      <c r="H118" s="3">
        <f t="shared" si="96"/>
        <v>0</v>
      </c>
      <c r="I118" s="11">
        <f t="shared" si="93"/>
        <v>0</v>
      </c>
      <c r="K118" s="9" t="s">
        <v>22</v>
      </c>
      <c r="L118" s="3">
        <f t="shared" si="94"/>
        <v>14</v>
      </c>
      <c r="M118" s="3">
        <f t="shared" si="95"/>
        <v>4</v>
      </c>
      <c r="O118">
        <f>INDEX(Basis!$C$2:$BJ$19,MATCH($C118,Basis!$B$2:$B$19,0),MATCH(O$103,Basis!$C$1:$BJ$1,0))</f>
        <v>1</v>
      </c>
      <c r="P118" s="3"/>
      <c r="Q118" s="3">
        <f t="shared" si="97"/>
        <v>0</v>
      </c>
      <c r="R118" s="11">
        <f t="shared" si="98"/>
        <v>0</v>
      </c>
      <c r="T118" s="9" t="s">
        <v>22</v>
      </c>
      <c r="U118" s="3">
        <f t="shared" si="99"/>
        <v>14</v>
      </c>
      <c r="V118" s="3">
        <f t="shared" si="100"/>
        <v>4</v>
      </c>
      <c r="X118">
        <f>INDEX(Basis!$C$2:$BJ$19,MATCH($C118,Basis!$B$2:$B$19,0),MATCH(X$103,Basis!$C$1:$BJ$1,0))</f>
        <v>1</v>
      </c>
      <c r="Y118" s="3"/>
      <c r="Z118" s="3">
        <f t="shared" si="101"/>
        <v>0</v>
      </c>
      <c r="AA118" s="11">
        <f t="shared" si="102"/>
        <v>0</v>
      </c>
      <c r="AC118">
        <f t="shared" si="103"/>
        <v>0</v>
      </c>
      <c r="AD118">
        <f t="shared" si="104"/>
        <v>0</v>
      </c>
      <c r="AE118">
        <f t="shared" si="105"/>
        <v>0</v>
      </c>
      <c r="AF118">
        <f t="shared" si="106"/>
        <v>1</v>
      </c>
      <c r="AH118">
        <f t="shared" si="107"/>
        <v>0</v>
      </c>
      <c r="AI118">
        <f t="shared" si="108"/>
        <v>0</v>
      </c>
      <c r="AJ118">
        <f t="shared" si="109"/>
        <v>0</v>
      </c>
      <c r="AK118">
        <f t="shared" si="110"/>
        <v>1</v>
      </c>
      <c r="AM118">
        <f t="shared" si="111"/>
        <v>0</v>
      </c>
      <c r="AN118">
        <f t="shared" si="112"/>
        <v>0</v>
      </c>
      <c r="AO118">
        <f t="shared" si="113"/>
        <v>0</v>
      </c>
      <c r="AP118">
        <f t="shared" si="114"/>
        <v>1</v>
      </c>
    </row>
    <row r="119" spans="2:42" x14ac:dyDescent="0.25">
      <c r="B119" s="9" t="s">
        <v>23</v>
      </c>
      <c r="C119" s="3">
        <v>4</v>
      </c>
      <c r="D119" s="3">
        <v>4</v>
      </c>
      <c r="F119">
        <f>INDEX(Basis!$C$2:$BJ$19,MATCH($C119,Basis!$B$2:$B$19,0),MATCH(F$103,Basis!$C$1:$BJ$1,0))</f>
        <v>1</v>
      </c>
      <c r="G119" s="3"/>
      <c r="H119" s="3">
        <f t="shared" si="96"/>
        <v>0</v>
      </c>
      <c r="I119" s="11">
        <f t="shared" si="93"/>
        <v>0</v>
      </c>
      <c r="K119" s="9" t="s">
        <v>23</v>
      </c>
      <c r="L119" s="3">
        <f t="shared" si="94"/>
        <v>4</v>
      </c>
      <c r="M119" s="3">
        <f t="shared" si="95"/>
        <v>4</v>
      </c>
      <c r="O119">
        <f>INDEX(Basis!$C$2:$BJ$19,MATCH($C119,Basis!$B$2:$B$19,0),MATCH(O$103,Basis!$C$1:$BJ$1,0))</f>
        <v>1</v>
      </c>
      <c r="P119" s="3"/>
      <c r="Q119" s="3">
        <f t="shared" si="97"/>
        <v>0</v>
      </c>
      <c r="R119" s="11">
        <f t="shared" si="98"/>
        <v>0</v>
      </c>
      <c r="T119" s="9" t="s">
        <v>23</v>
      </c>
      <c r="U119" s="3">
        <f t="shared" si="99"/>
        <v>4</v>
      </c>
      <c r="V119" s="3">
        <f t="shared" si="100"/>
        <v>4</v>
      </c>
      <c r="X119">
        <f>INDEX(Basis!$C$2:$BJ$19,MATCH($C119,Basis!$B$2:$B$19,0),MATCH(X$103,Basis!$C$1:$BJ$1,0))</f>
        <v>2</v>
      </c>
      <c r="Y119" s="3"/>
      <c r="Z119" s="3">
        <f t="shared" si="101"/>
        <v>0</v>
      </c>
      <c r="AA119" s="11">
        <f t="shared" si="102"/>
        <v>0</v>
      </c>
      <c r="AC119">
        <f t="shared" si="103"/>
        <v>0</v>
      </c>
      <c r="AD119">
        <f t="shared" si="104"/>
        <v>0</v>
      </c>
      <c r="AE119">
        <f t="shared" si="105"/>
        <v>0</v>
      </c>
      <c r="AF119">
        <f t="shared" si="106"/>
        <v>1</v>
      </c>
      <c r="AH119">
        <f t="shared" si="107"/>
        <v>0</v>
      </c>
      <c r="AI119">
        <f t="shared" si="108"/>
        <v>0</v>
      </c>
      <c r="AJ119">
        <f t="shared" si="109"/>
        <v>0</v>
      </c>
      <c r="AK119">
        <f t="shared" si="110"/>
        <v>1</v>
      </c>
      <c r="AM119">
        <f t="shared" si="111"/>
        <v>0</v>
      </c>
      <c r="AN119">
        <f t="shared" si="112"/>
        <v>0</v>
      </c>
      <c r="AO119">
        <f t="shared" si="113"/>
        <v>0</v>
      </c>
      <c r="AP119">
        <f t="shared" si="114"/>
        <v>1</v>
      </c>
    </row>
    <row r="120" spans="2:42" x14ac:dyDescent="0.25">
      <c r="B120" s="9" t="s">
        <v>24</v>
      </c>
      <c r="C120" s="3">
        <v>6</v>
      </c>
      <c r="D120" s="3">
        <v>5</v>
      </c>
      <c r="F120">
        <f>INDEX(Basis!$C$2:$BJ$19,MATCH($C120,Basis!$B$2:$B$19,0),MATCH(F$103,Basis!$C$1:$BJ$1,0))</f>
        <v>1</v>
      </c>
      <c r="G120" s="3"/>
      <c r="H120" s="3">
        <f t="shared" si="96"/>
        <v>0</v>
      </c>
      <c r="I120" s="11">
        <f t="shared" si="93"/>
        <v>0</v>
      </c>
      <c r="K120" s="9" t="s">
        <v>24</v>
      </c>
      <c r="L120" s="3">
        <f t="shared" si="94"/>
        <v>6</v>
      </c>
      <c r="M120" s="3">
        <f t="shared" si="95"/>
        <v>5</v>
      </c>
      <c r="O120">
        <f>INDEX(Basis!$C$2:$BJ$19,MATCH($C120,Basis!$B$2:$B$19,0),MATCH(O$103,Basis!$C$1:$BJ$1,0))</f>
        <v>1</v>
      </c>
      <c r="P120" s="3"/>
      <c r="Q120" s="3">
        <f t="shared" si="97"/>
        <v>0</v>
      </c>
      <c r="R120" s="11">
        <f t="shared" si="98"/>
        <v>0</v>
      </c>
      <c r="T120" s="9" t="s">
        <v>24</v>
      </c>
      <c r="U120" s="3">
        <f t="shared" si="99"/>
        <v>6</v>
      </c>
      <c r="V120" s="3">
        <f t="shared" si="100"/>
        <v>5</v>
      </c>
      <c r="X120">
        <f>INDEX(Basis!$C$2:$BJ$19,MATCH($C120,Basis!$B$2:$B$19,0),MATCH(X$103,Basis!$C$1:$BJ$1,0))</f>
        <v>2</v>
      </c>
      <c r="Y120" s="3"/>
      <c r="Z120" s="3">
        <f t="shared" si="101"/>
        <v>0</v>
      </c>
      <c r="AA120" s="11">
        <f t="shared" si="102"/>
        <v>0</v>
      </c>
      <c r="AC120">
        <f t="shared" si="103"/>
        <v>0</v>
      </c>
      <c r="AD120">
        <f t="shared" si="104"/>
        <v>0</v>
      </c>
      <c r="AE120">
        <f t="shared" si="105"/>
        <v>0</v>
      </c>
      <c r="AF120">
        <f t="shared" si="106"/>
        <v>1</v>
      </c>
      <c r="AH120">
        <f t="shared" si="107"/>
        <v>0</v>
      </c>
      <c r="AI120">
        <f t="shared" si="108"/>
        <v>0</v>
      </c>
      <c r="AJ120">
        <f t="shared" si="109"/>
        <v>0</v>
      </c>
      <c r="AK120">
        <f t="shared" si="110"/>
        <v>1</v>
      </c>
      <c r="AM120">
        <f t="shared" si="111"/>
        <v>0</v>
      </c>
      <c r="AN120">
        <f t="shared" si="112"/>
        <v>0</v>
      </c>
      <c r="AO120">
        <f t="shared" si="113"/>
        <v>0</v>
      </c>
      <c r="AP120">
        <f t="shared" si="114"/>
        <v>1</v>
      </c>
    </row>
    <row r="121" spans="2:42" x14ac:dyDescent="0.25">
      <c r="B121" s="9" t="s">
        <v>25</v>
      </c>
      <c r="C121" s="3">
        <v>8</v>
      </c>
      <c r="D121" s="3">
        <v>4</v>
      </c>
      <c r="F121">
        <f>INDEX(Basis!$C$2:$BJ$19,MATCH($C121,Basis!$B$2:$B$19,0),MATCH(F$103,Basis!$C$1:$BJ$1,0))</f>
        <v>1</v>
      </c>
      <c r="G121" s="3"/>
      <c r="H121" s="3">
        <f t="shared" si="96"/>
        <v>0</v>
      </c>
      <c r="I121" s="11">
        <f t="shared" si="93"/>
        <v>0</v>
      </c>
      <c r="K121" s="9" t="s">
        <v>25</v>
      </c>
      <c r="L121" s="3">
        <f t="shared" si="94"/>
        <v>8</v>
      </c>
      <c r="M121" s="3">
        <f t="shared" si="95"/>
        <v>4</v>
      </c>
      <c r="O121">
        <f>INDEX(Basis!$C$2:$BJ$19,MATCH($C121,Basis!$B$2:$B$19,0),MATCH(O$103,Basis!$C$1:$BJ$1,0))</f>
        <v>1</v>
      </c>
      <c r="P121" s="3"/>
      <c r="Q121" s="3">
        <f t="shared" si="97"/>
        <v>0</v>
      </c>
      <c r="R121" s="11">
        <f t="shared" si="98"/>
        <v>0</v>
      </c>
      <c r="T121" s="9" t="s">
        <v>25</v>
      </c>
      <c r="U121" s="3">
        <f t="shared" si="99"/>
        <v>8</v>
      </c>
      <c r="V121" s="3">
        <f t="shared" si="100"/>
        <v>4</v>
      </c>
      <c r="X121">
        <f>INDEX(Basis!$C$2:$BJ$19,MATCH($C121,Basis!$B$2:$B$19,0),MATCH(X$103,Basis!$C$1:$BJ$1,0))</f>
        <v>1</v>
      </c>
      <c r="Y121" s="3"/>
      <c r="Z121" s="3">
        <f t="shared" si="101"/>
        <v>0</v>
      </c>
      <c r="AA121" s="11">
        <f t="shared" si="102"/>
        <v>0</v>
      </c>
      <c r="AC121">
        <f t="shared" si="103"/>
        <v>0</v>
      </c>
      <c r="AD121">
        <f t="shared" si="104"/>
        <v>0</v>
      </c>
      <c r="AE121">
        <f t="shared" si="105"/>
        <v>0</v>
      </c>
      <c r="AF121">
        <f t="shared" si="106"/>
        <v>1</v>
      </c>
      <c r="AH121">
        <f t="shared" si="107"/>
        <v>0</v>
      </c>
      <c r="AI121">
        <f t="shared" si="108"/>
        <v>0</v>
      </c>
      <c r="AJ121">
        <f t="shared" si="109"/>
        <v>0</v>
      </c>
      <c r="AK121">
        <f t="shared" si="110"/>
        <v>1</v>
      </c>
      <c r="AM121">
        <f t="shared" si="111"/>
        <v>0</v>
      </c>
      <c r="AN121">
        <f t="shared" si="112"/>
        <v>0</v>
      </c>
      <c r="AO121">
        <f t="shared" si="113"/>
        <v>0</v>
      </c>
      <c r="AP121">
        <f t="shared" si="114"/>
        <v>1</v>
      </c>
    </row>
    <row r="122" spans="2:42" x14ac:dyDescent="0.25">
      <c r="B122" s="9" t="s">
        <v>26</v>
      </c>
      <c r="C122" s="3">
        <v>12</v>
      </c>
      <c r="D122" s="3">
        <v>3</v>
      </c>
      <c r="F122">
        <f>INDEX(Basis!$C$2:$BJ$19,MATCH($C122,Basis!$B$2:$B$19,0),MATCH(F$103,Basis!$C$1:$BJ$1,0))</f>
        <v>1</v>
      </c>
      <c r="G122" s="3"/>
      <c r="H122" s="3">
        <f t="shared" si="96"/>
        <v>0</v>
      </c>
      <c r="I122" s="11">
        <f t="shared" si="93"/>
        <v>0</v>
      </c>
      <c r="K122" s="9" t="s">
        <v>26</v>
      </c>
      <c r="L122" s="3">
        <f t="shared" si="94"/>
        <v>12</v>
      </c>
      <c r="M122" s="3">
        <f t="shared" si="95"/>
        <v>3</v>
      </c>
      <c r="O122">
        <f>INDEX(Basis!$C$2:$BJ$19,MATCH($C122,Basis!$B$2:$B$19,0),MATCH(O$103,Basis!$C$1:$BJ$1,0))</f>
        <v>1</v>
      </c>
      <c r="P122" s="3"/>
      <c r="Q122" s="3">
        <f t="shared" si="97"/>
        <v>0</v>
      </c>
      <c r="R122" s="11">
        <f t="shared" si="98"/>
        <v>0</v>
      </c>
      <c r="T122" s="9" t="s">
        <v>26</v>
      </c>
      <c r="U122" s="3">
        <f t="shared" si="99"/>
        <v>12</v>
      </c>
      <c r="V122" s="3">
        <f t="shared" si="100"/>
        <v>3</v>
      </c>
      <c r="X122">
        <f>INDEX(Basis!$C$2:$BJ$19,MATCH($C122,Basis!$B$2:$B$19,0),MATCH(X$103,Basis!$C$1:$BJ$1,0))</f>
        <v>1</v>
      </c>
      <c r="Y122" s="3"/>
      <c r="Z122" s="3">
        <f t="shared" si="101"/>
        <v>0</v>
      </c>
      <c r="AA122" s="11">
        <f t="shared" si="102"/>
        <v>0</v>
      </c>
      <c r="AC122">
        <f t="shared" si="103"/>
        <v>0</v>
      </c>
      <c r="AD122">
        <f t="shared" si="104"/>
        <v>0</v>
      </c>
      <c r="AE122">
        <f t="shared" si="105"/>
        <v>0</v>
      </c>
      <c r="AF122">
        <f t="shared" si="106"/>
        <v>1</v>
      </c>
      <c r="AH122">
        <f t="shared" si="107"/>
        <v>0</v>
      </c>
      <c r="AI122">
        <f t="shared" si="108"/>
        <v>0</v>
      </c>
      <c r="AJ122">
        <f t="shared" si="109"/>
        <v>0</v>
      </c>
      <c r="AK122">
        <f t="shared" si="110"/>
        <v>1</v>
      </c>
      <c r="AM122">
        <f t="shared" si="111"/>
        <v>0</v>
      </c>
      <c r="AN122">
        <f t="shared" si="112"/>
        <v>0</v>
      </c>
      <c r="AO122">
        <f t="shared" si="113"/>
        <v>0</v>
      </c>
      <c r="AP122">
        <f t="shared" si="114"/>
        <v>1</v>
      </c>
    </row>
    <row r="123" spans="2:42" x14ac:dyDescent="0.25">
      <c r="B123" s="9" t="s">
        <v>27</v>
      </c>
      <c r="C123" s="3">
        <v>10</v>
      </c>
      <c r="D123" s="3">
        <v>5</v>
      </c>
      <c r="F123">
        <f>INDEX(Basis!$C$2:$BJ$19,MATCH($C123,Basis!$B$2:$B$19,0),MATCH(F$103,Basis!$C$1:$BJ$1,0))</f>
        <v>1</v>
      </c>
      <c r="G123" s="3"/>
      <c r="H123" s="3">
        <f t="shared" si="96"/>
        <v>0</v>
      </c>
      <c r="I123" s="11">
        <f t="shared" si="93"/>
        <v>0</v>
      </c>
      <c r="K123" s="9" t="s">
        <v>27</v>
      </c>
      <c r="L123" s="3">
        <f t="shared" si="94"/>
        <v>10</v>
      </c>
      <c r="M123" s="3">
        <f t="shared" si="95"/>
        <v>5</v>
      </c>
      <c r="O123">
        <f>INDEX(Basis!$C$2:$BJ$19,MATCH($C123,Basis!$B$2:$B$19,0),MATCH(O$103,Basis!$C$1:$BJ$1,0))</f>
        <v>1</v>
      </c>
      <c r="P123" s="3"/>
      <c r="Q123" s="3">
        <f t="shared" si="97"/>
        <v>0</v>
      </c>
      <c r="R123" s="11">
        <f t="shared" si="98"/>
        <v>0</v>
      </c>
      <c r="T123" s="9" t="s">
        <v>27</v>
      </c>
      <c r="U123" s="3">
        <f t="shared" si="99"/>
        <v>10</v>
      </c>
      <c r="V123" s="3">
        <f t="shared" si="100"/>
        <v>5</v>
      </c>
      <c r="X123">
        <f>INDEX(Basis!$C$2:$BJ$19,MATCH($C123,Basis!$B$2:$B$19,0),MATCH(X$103,Basis!$C$1:$BJ$1,0))</f>
        <v>1</v>
      </c>
      <c r="Y123" s="3"/>
      <c r="Z123" s="3">
        <f t="shared" si="101"/>
        <v>0</v>
      </c>
      <c r="AA123" s="11">
        <f t="shared" si="102"/>
        <v>0</v>
      </c>
      <c r="AC123">
        <f t="shared" si="103"/>
        <v>0</v>
      </c>
      <c r="AD123">
        <f t="shared" si="104"/>
        <v>0</v>
      </c>
      <c r="AE123">
        <f t="shared" si="105"/>
        <v>0</v>
      </c>
      <c r="AF123">
        <f t="shared" si="106"/>
        <v>1</v>
      </c>
      <c r="AH123">
        <f t="shared" si="107"/>
        <v>0</v>
      </c>
      <c r="AI123">
        <f t="shared" si="108"/>
        <v>0</v>
      </c>
      <c r="AJ123">
        <f t="shared" si="109"/>
        <v>0</v>
      </c>
      <c r="AK123">
        <f t="shared" si="110"/>
        <v>1</v>
      </c>
      <c r="AM123">
        <f t="shared" si="111"/>
        <v>0</v>
      </c>
      <c r="AN123">
        <f t="shared" si="112"/>
        <v>0</v>
      </c>
      <c r="AO123">
        <f t="shared" si="113"/>
        <v>0</v>
      </c>
      <c r="AP123">
        <f t="shared" si="114"/>
        <v>1</v>
      </c>
    </row>
    <row r="124" spans="2:42" x14ac:dyDescent="0.25">
      <c r="B124" s="9" t="s">
        <v>28</v>
      </c>
      <c r="C124" s="3">
        <v>16</v>
      </c>
      <c r="D124" s="3">
        <v>3</v>
      </c>
      <c r="F124">
        <f>INDEX(Basis!$C$2:$BJ$19,MATCH($C124,Basis!$B$2:$B$19,0),MATCH(F$103,Basis!$C$1:$BJ$1,0))</f>
        <v>1</v>
      </c>
      <c r="G124" s="3"/>
      <c r="H124" s="3">
        <f t="shared" si="96"/>
        <v>0</v>
      </c>
      <c r="I124" s="11">
        <f t="shared" si="93"/>
        <v>0</v>
      </c>
      <c r="K124" s="9" t="s">
        <v>28</v>
      </c>
      <c r="L124" s="3">
        <f t="shared" si="94"/>
        <v>16</v>
      </c>
      <c r="M124" s="3">
        <f t="shared" si="95"/>
        <v>3</v>
      </c>
      <c r="O124">
        <f>INDEX(Basis!$C$2:$BJ$19,MATCH($C124,Basis!$B$2:$B$19,0),MATCH(O$103,Basis!$C$1:$BJ$1,0))</f>
        <v>1</v>
      </c>
      <c r="P124" s="3"/>
      <c r="Q124" s="3">
        <f t="shared" si="97"/>
        <v>0</v>
      </c>
      <c r="R124" s="11">
        <f t="shared" si="98"/>
        <v>0</v>
      </c>
      <c r="T124" s="9" t="s">
        <v>28</v>
      </c>
      <c r="U124" s="3">
        <f t="shared" si="99"/>
        <v>16</v>
      </c>
      <c r="V124" s="3">
        <f t="shared" si="100"/>
        <v>3</v>
      </c>
      <c r="X124">
        <f>INDEX(Basis!$C$2:$BJ$19,MATCH($C124,Basis!$B$2:$B$19,0),MATCH(X$103,Basis!$C$1:$BJ$1,0))</f>
        <v>1</v>
      </c>
      <c r="Y124" s="3"/>
      <c r="Z124" s="3">
        <f t="shared" si="101"/>
        <v>0</v>
      </c>
      <c r="AA124" s="11">
        <f t="shared" si="102"/>
        <v>0</v>
      </c>
      <c r="AC124">
        <f t="shared" si="103"/>
        <v>0</v>
      </c>
      <c r="AD124">
        <f t="shared" si="104"/>
        <v>0</v>
      </c>
      <c r="AE124">
        <f t="shared" si="105"/>
        <v>0</v>
      </c>
      <c r="AF124">
        <f t="shared" si="106"/>
        <v>1</v>
      </c>
      <c r="AH124">
        <f t="shared" si="107"/>
        <v>0</v>
      </c>
      <c r="AI124">
        <f t="shared" si="108"/>
        <v>0</v>
      </c>
      <c r="AJ124">
        <f t="shared" si="109"/>
        <v>0</v>
      </c>
      <c r="AK124">
        <f t="shared" si="110"/>
        <v>1</v>
      </c>
      <c r="AM124">
        <f t="shared" si="111"/>
        <v>0</v>
      </c>
      <c r="AN124">
        <f t="shared" si="112"/>
        <v>0</v>
      </c>
      <c r="AO124">
        <f t="shared" si="113"/>
        <v>0</v>
      </c>
      <c r="AP124">
        <f t="shared" si="114"/>
        <v>1</v>
      </c>
    </row>
    <row r="125" spans="2:42" x14ac:dyDescent="0.25">
      <c r="B125" s="9" t="s">
        <v>29</v>
      </c>
      <c r="C125" s="3">
        <v>2</v>
      </c>
      <c r="D125" s="3">
        <v>4</v>
      </c>
      <c r="F125">
        <f>INDEX(Basis!$C$2:$BJ$19,MATCH($C125,Basis!$B$2:$B$19,0),MATCH(F$103,Basis!$C$1:$BJ$1,0))</f>
        <v>1</v>
      </c>
      <c r="G125" s="3"/>
      <c r="H125" s="3">
        <f t="shared" si="96"/>
        <v>0</v>
      </c>
      <c r="I125" s="11">
        <f t="shared" si="93"/>
        <v>0</v>
      </c>
      <c r="K125" s="9" t="s">
        <v>29</v>
      </c>
      <c r="L125" s="3">
        <f t="shared" si="94"/>
        <v>2</v>
      </c>
      <c r="M125" s="3">
        <f t="shared" si="95"/>
        <v>4</v>
      </c>
      <c r="O125">
        <f>INDEX(Basis!$C$2:$BJ$19,MATCH($C125,Basis!$B$2:$B$19,0),MATCH(O$103,Basis!$C$1:$BJ$1,0))</f>
        <v>2</v>
      </c>
      <c r="P125" s="3"/>
      <c r="Q125" s="3">
        <f t="shared" si="97"/>
        <v>0</v>
      </c>
      <c r="R125" s="11">
        <f t="shared" si="98"/>
        <v>0</v>
      </c>
      <c r="T125" s="9" t="s">
        <v>29</v>
      </c>
      <c r="U125" s="3">
        <f t="shared" si="99"/>
        <v>2</v>
      </c>
      <c r="V125" s="3">
        <f t="shared" si="100"/>
        <v>4</v>
      </c>
      <c r="X125">
        <f>INDEX(Basis!$C$2:$BJ$19,MATCH($C125,Basis!$B$2:$B$19,0),MATCH(X$103,Basis!$C$1:$BJ$1,0))</f>
        <v>2</v>
      </c>
      <c r="Y125" s="3"/>
      <c r="Z125" s="3">
        <f t="shared" si="101"/>
        <v>0</v>
      </c>
      <c r="AA125" s="11">
        <f t="shared" si="102"/>
        <v>0</v>
      </c>
      <c r="AC125">
        <f t="shared" si="103"/>
        <v>0</v>
      </c>
      <c r="AD125">
        <f t="shared" si="104"/>
        <v>0</v>
      </c>
      <c r="AE125">
        <f t="shared" si="105"/>
        <v>0</v>
      </c>
      <c r="AF125">
        <f t="shared" si="106"/>
        <v>1</v>
      </c>
      <c r="AH125">
        <f t="shared" si="107"/>
        <v>0</v>
      </c>
      <c r="AI125">
        <f t="shared" si="108"/>
        <v>0</v>
      </c>
      <c r="AJ125">
        <f t="shared" si="109"/>
        <v>0</v>
      </c>
      <c r="AK125">
        <f t="shared" si="110"/>
        <v>1</v>
      </c>
      <c r="AM125">
        <f t="shared" si="111"/>
        <v>0</v>
      </c>
      <c r="AN125">
        <f t="shared" si="112"/>
        <v>0</v>
      </c>
      <c r="AO125">
        <f t="shared" si="113"/>
        <v>0</v>
      </c>
      <c r="AP125">
        <f t="shared" si="114"/>
        <v>1</v>
      </c>
    </row>
    <row r="126" spans="2:42" x14ac:dyDescent="0.25">
      <c r="B126" s="9" t="s">
        <v>30</v>
      </c>
      <c r="C126" s="3">
        <v>18</v>
      </c>
      <c r="D126" s="3">
        <v>4</v>
      </c>
      <c r="F126">
        <f>INDEX(Basis!$C$2:$BJ$19,MATCH($C126,Basis!$B$2:$B$19,0),MATCH(F$103,Basis!$C$1:$BJ$1,0))</f>
        <v>0</v>
      </c>
      <c r="G126" s="3"/>
      <c r="H126" s="3">
        <f t="shared" si="96"/>
        <v>0</v>
      </c>
      <c r="I126" s="11">
        <f t="shared" si="93"/>
        <v>0</v>
      </c>
      <c r="K126" s="9" t="s">
        <v>30</v>
      </c>
      <c r="L126" s="3">
        <f t="shared" si="94"/>
        <v>18</v>
      </c>
      <c r="M126" s="3">
        <f t="shared" si="95"/>
        <v>4</v>
      </c>
      <c r="O126">
        <f>INDEX(Basis!$C$2:$BJ$19,MATCH($C126,Basis!$B$2:$B$19,0),MATCH(O$103,Basis!$C$1:$BJ$1,0))</f>
        <v>1</v>
      </c>
      <c r="P126" s="3"/>
      <c r="Q126" s="3">
        <f t="shared" si="97"/>
        <v>0</v>
      </c>
      <c r="R126" s="11">
        <f t="shared" si="98"/>
        <v>0</v>
      </c>
      <c r="T126" s="9" t="s">
        <v>30</v>
      </c>
      <c r="U126" s="3">
        <f t="shared" si="99"/>
        <v>18</v>
      </c>
      <c r="V126" s="3">
        <f t="shared" si="100"/>
        <v>4</v>
      </c>
      <c r="X126">
        <f>INDEX(Basis!$C$2:$BJ$19,MATCH($C126,Basis!$B$2:$B$19,0),MATCH(X$103,Basis!$C$1:$BJ$1,0))</f>
        <v>1</v>
      </c>
      <c r="Y126" s="3"/>
      <c r="Z126" s="3">
        <f t="shared" si="101"/>
        <v>0</v>
      </c>
      <c r="AA126" s="11">
        <f t="shared" si="102"/>
        <v>0</v>
      </c>
      <c r="AC126">
        <f t="shared" si="103"/>
        <v>0</v>
      </c>
      <c r="AD126">
        <f t="shared" si="104"/>
        <v>0</v>
      </c>
      <c r="AE126">
        <f t="shared" si="105"/>
        <v>0</v>
      </c>
      <c r="AF126">
        <f t="shared" si="106"/>
        <v>1</v>
      </c>
      <c r="AH126">
        <f t="shared" si="107"/>
        <v>0</v>
      </c>
      <c r="AI126">
        <f t="shared" si="108"/>
        <v>0</v>
      </c>
      <c r="AJ126">
        <f t="shared" si="109"/>
        <v>0</v>
      </c>
      <c r="AK126">
        <f t="shared" si="110"/>
        <v>1</v>
      </c>
      <c r="AM126">
        <f t="shared" si="111"/>
        <v>0</v>
      </c>
      <c r="AN126">
        <f t="shared" si="112"/>
        <v>0</v>
      </c>
      <c r="AO126">
        <f t="shared" si="113"/>
        <v>0</v>
      </c>
      <c r="AP126">
        <f t="shared" si="114"/>
        <v>1</v>
      </c>
    </row>
    <row r="127" spans="2:42" x14ac:dyDescent="0.25">
      <c r="B127" s="9"/>
      <c r="C127" s="3"/>
      <c r="D127" s="3"/>
      <c r="G127" s="3"/>
      <c r="H127" s="3"/>
      <c r="I127" s="11"/>
      <c r="K127" s="9"/>
      <c r="L127" s="3"/>
      <c r="M127" s="3"/>
      <c r="P127" s="3"/>
      <c r="Q127" s="3"/>
      <c r="R127" s="11"/>
      <c r="T127" s="9"/>
      <c r="U127" s="3"/>
      <c r="V127" s="3"/>
      <c r="Y127" s="3"/>
      <c r="Z127" s="3"/>
      <c r="AA127" s="11"/>
    </row>
    <row r="128" spans="2:42" x14ac:dyDescent="0.25">
      <c r="B128" s="16" t="s">
        <v>31</v>
      </c>
      <c r="C128" s="17"/>
      <c r="D128" s="17"/>
      <c r="E128" s="18"/>
      <c r="F128" s="18"/>
      <c r="G128" s="17">
        <f>SUM(G109:G117)</f>
        <v>0</v>
      </c>
      <c r="H128" s="17">
        <f>SUM(H109:H117)</f>
        <v>0</v>
      </c>
      <c r="I128" s="19">
        <f>SUM(I109:I117)</f>
        <v>0</v>
      </c>
      <c r="K128" s="16" t="s">
        <v>31</v>
      </c>
      <c r="L128" s="17"/>
      <c r="M128" s="17"/>
      <c r="N128" s="18"/>
      <c r="O128" s="18"/>
      <c r="P128" s="17">
        <f>SUM(P109:P117)</f>
        <v>0</v>
      </c>
      <c r="Q128" s="17">
        <f>SUM(Q109:Q117)</f>
        <v>0</v>
      </c>
      <c r="R128" s="19">
        <f>SUM(R109:R117)</f>
        <v>0</v>
      </c>
      <c r="T128" s="16" t="s">
        <v>31</v>
      </c>
      <c r="U128" s="17"/>
      <c r="V128" s="17"/>
      <c r="W128" s="18"/>
      <c r="X128" s="18"/>
      <c r="Y128" s="17">
        <f>SUM(Y109:Y117)</f>
        <v>0</v>
      </c>
      <c r="Z128" s="17">
        <f>SUM(Z109:Z117)</f>
        <v>0</v>
      </c>
      <c r="AA128" s="19">
        <f>SUM(AA109:AA117)</f>
        <v>0</v>
      </c>
      <c r="AC128" s="19">
        <f t="shared" ref="AC128:AF128" si="115">SUM(AC109:AC117)</f>
        <v>0</v>
      </c>
      <c r="AD128" s="19">
        <f t="shared" si="115"/>
        <v>0</v>
      </c>
      <c r="AE128" s="19">
        <f t="shared" si="115"/>
        <v>0</v>
      </c>
      <c r="AF128" s="19">
        <f t="shared" si="115"/>
        <v>9</v>
      </c>
      <c r="AH128" s="19">
        <f t="shared" ref="AH128:AK128" si="116">SUM(AH109:AH117)</f>
        <v>0</v>
      </c>
      <c r="AI128" s="19">
        <f t="shared" si="116"/>
        <v>0</v>
      </c>
      <c r="AJ128" s="19">
        <f t="shared" si="116"/>
        <v>0</v>
      </c>
      <c r="AK128" s="19">
        <f t="shared" si="116"/>
        <v>9</v>
      </c>
      <c r="AM128" s="19">
        <f t="shared" ref="AM128:AP128" si="117">SUM(AM109:AM117)</f>
        <v>0</v>
      </c>
      <c r="AN128" s="19">
        <f t="shared" si="117"/>
        <v>0</v>
      </c>
      <c r="AO128" s="19">
        <f t="shared" si="117"/>
        <v>0</v>
      </c>
      <c r="AP128" s="19">
        <f t="shared" si="117"/>
        <v>9</v>
      </c>
    </row>
    <row r="129" spans="2:42" x14ac:dyDescent="0.25">
      <c r="B129" s="16" t="s">
        <v>32</v>
      </c>
      <c r="C129" s="18"/>
      <c r="D129" s="18"/>
      <c r="E129" s="18"/>
      <c r="F129" s="18"/>
      <c r="G129" s="17">
        <f>SUM(G118:G126)</f>
        <v>0</v>
      </c>
      <c r="H129" s="17">
        <f>SUM(H118:H126)</f>
        <v>0</v>
      </c>
      <c r="I129" s="19">
        <f>SUM(I118:I126)</f>
        <v>0</v>
      </c>
      <c r="K129" s="16" t="s">
        <v>32</v>
      </c>
      <c r="L129" s="18"/>
      <c r="M129" s="18"/>
      <c r="N129" s="18"/>
      <c r="O129" s="18"/>
      <c r="P129" s="17">
        <f>SUM(P118:P126)</f>
        <v>0</v>
      </c>
      <c r="Q129" s="17">
        <f>SUM(Q118:Q126)</f>
        <v>0</v>
      </c>
      <c r="R129" s="19">
        <f>SUM(R118:R126)</f>
        <v>0</v>
      </c>
      <c r="T129" s="16" t="s">
        <v>32</v>
      </c>
      <c r="U129" s="18"/>
      <c r="V129" s="18"/>
      <c r="W129" s="18"/>
      <c r="X129" s="18"/>
      <c r="Y129" s="17">
        <f>SUM(Y118:Y126)</f>
        <v>0</v>
      </c>
      <c r="Z129" s="17">
        <f>SUM(Z118:Z126)</f>
        <v>0</v>
      </c>
      <c r="AA129" s="19">
        <f>SUM(AA118:AA126)</f>
        <v>0</v>
      </c>
      <c r="AC129" s="19">
        <f t="shared" ref="AC129:AF129" si="118">SUM(AC118:AC126)</f>
        <v>0</v>
      </c>
      <c r="AD129" s="19">
        <f t="shared" si="118"/>
        <v>0</v>
      </c>
      <c r="AE129" s="19">
        <f t="shared" si="118"/>
        <v>0</v>
      </c>
      <c r="AF129" s="19">
        <f t="shared" si="118"/>
        <v>9</v>
      </c>
      <c r="AH129" s="19">
        <f t="shared" ref="AH129:AK129" si="119">SUM(AH118:AH126)</f>
        <v>0</v>
      </c>
      <c r="AI129" s="19">
        <f t="shared" si="119"/>
        <v>0</v>
      </c>
      <c r="AJ129" s="19">
        <f t="shared" si="119"/>
        <v>0</v>
      </c>
      <c r="AK129" s="19">
        <f t="shared" si="119"/>
        <v>9</v>
      </c>
      <c r="AM129" s="19">
        <f t="shared" ref="AM129:AP129" si="120">SUM(AM118:AM126)</f>
        <v>0</v>
      </c>
      <c r="AN129" s="19">
        <f t="shared" si="120"/>
        <v>0</v>
      </c>
      <c r="AO129" s="19">
        <f t="shared" si="120"/>
        <v>0</v>
      </c>
      <c r="AP129" s="19">
        <f t="shared" si="120"/>
        <v>9</v>
      </c>
    </row>
    <row r="130" spans="2:42" x14ac:dyDescent="0.25">
      <c r="B130" s="9"/>
      <c r="F130" s="22">
        <f>SUM(F109:F126)</f>
        <v>17</v>
      </c>
      <c r="G130" s="5">
        <f>SUM(G109:G126)</f>
        <v>0</v>
      </c>
      <c r="H130" s="5">
        <f>SUM(H109:H126)</f>
        <v>0</v>
      </c>
      <c r="I130" s="23">
        <f>SUM(I109:I126)</f>
        <v>0</v>
      </c>
      <c r="K130" s="9"/>
      <c r="O130" s="22">
        <f>SUM(O109:O126)</f>
        <v>21</v>
      </c>
      <c r="P130" s="5">
        <f>SUM(P109:P126)</f>
        <v>0</v>
      </c>
      <c r="Q130" s="5">
        <f>SUM(Q109:Q126)</f>
        <v>0</v>
      </c>
      <c r="R130" s="23">
        <f>SUM(R109:R126)</f>
        <v>0</v>
      </c>
      <c r="T130" s="9"/>
      <c r="X130" s="22">
        <f>SUM(X109:X126)</f>
        <v>25</v>
      </c>
      <c r="Y130" s="5">
        <f>SUM(Y109:Y126)</f>
        <v>0</v>
      </c>
      <c r="Z130" s="5">
        <f>SUM(Z109:Z126)</f>
        <v>0</v>
      </c>
      <c r="AA130" s="23">
        <f>SUM(AA109:AA126)</f>
        <v>0</v>
      </c>
      <c r="AC130" s="5">
        <f t="shared" ref="AC130:AF130" si="121">SUM(AC109:AC126)</f>
        <v>0</v>
      </c>
      <c r="AD130" s="5">
        <f t="shared" si="121"/>
        <v>0</v>
      </c>
      <c r="AE130" s="5">
        <f t="shared" si="121"/>
        <v>0</v>
      </c>
      <c r="AF130" s="5">
        <f t="shared" si="121"/>
        <v>18</v>
      </c>
      <c r="AH130" s="5">
        <f t="shared" ref="AH130:AK130" si="122">SUM(AH109:AH126)</f>
        <v>0</v>
      </c>
      <c r="AI130" s="5">
        <f t="shared" si="122"/>
        <v>0</v>
      </c>
      <c r="AJ130" s="5">
        <f t="shared" si="122"/>
        <v>0</v>
      </c>
      <c r="AK130" s="5">
        <f t="shared" si="122"/>
        <v>18</v>
      </c>
      <c r="AM130" s="5">
        <f t="shared" ref="AM130:AP130" si="123">SUM(AM109:AM126)</f>
        <v>0</v>
      </c>
      <c r="AN130" s="5">
        <f t="shared" si="123"/>
        <v>0</v>
      </c>
      <c r="AO130" s="5">
        <f t="shared" si="123"/>
        <v>0</v>
      </c>
      <c r="AP130" s="5">
        <f t="shared" si="123"/>
        <v>18</v>
      </c>
    </row>
    <row r="131" spans="2:42" ht="15.75" thickBot="1" x14ac:dyDescent="0.3">
      <c r="B131" s="12"/>
      <c r="C131" s="13"/>
      <c r="D131" s="13"/>
      <c r="E131" s="13"/>
      <c r="F131" s="13"/>
      <c r="G131" s="13"/>
      <c r="H131" s="13"/>
      <c r="I131" s="14"/>
      <c r="K131" s="12"/>
      <c r="L131" s="13"/>
      <c r="M131" s="13"/>
      <c r="N131" s="13"/>
      <c r="O131" s="13"/>
      <c r="P131" s="13"/>
      <c r="Q131" s="13"/>
      <c r="R131" s="14"/>
      <c r="T131" s="12"/>
      <c r="U131" s="13"/>
      <c r="V131" s="13"/>
      <c r="W131" s="13"/>
      <c r="X131" s="13"/>
      <c r="Y131" s="13"/>
      <c r="Z131" s="13"/>
      <c r="AA131" s="14"/>
      <c r="AF131" s="24">
        <f>SUM(AC130:AF130)</f>
        <v>18</v>
      </c>
      <c r="AK131" s="24">
        <f>SUM(AH130:AK130)</f>
        <v>18</v>
      </c>
      <c r="AP131" s="24">
        <f>SUM(AM130:AP130)</f>
        <v>18</v>
      </c>
    </row>
  </sheetData>
  <mergeCells count="28">
    <mergeCell ref="AH101:AK101"/>
    <mergeCell ref="AM101:AP101"/>
    <mergeCell ref="AH68:AK68"/>
    <mergeCell ref="B100:AA100"/>
    <mergeCell ref="B101:I101"/>
    <mergeCell ref="K101:R101"/>
    <mergeCell ref="T101:AA101"/>
    <mergeCell ref="AC101:AF101"/>
    <mergeCell ref="B68:I68"/>
    <mergeCell ref="K68:R68"/>
    <mergeCell ref="T68:AA68"/>
    <mergeCell ref="AC68:AF68"/>
    <mergeCell ref="AM68:AP68"/>
    <mergeCell ref="AM2:AP2"/>
    <mergeCell ref="AC35:AF35"/>
    <mergeCell ref="AH35:AK35"/>
    <mergeCell ref="AM35:AP35"/>
    <mergeCell ref="B67:AA67"/>
    <mergeCell ref="B35:I35"/>
    <mergeCell ref="K35:R35"/>
    <mergeCell ref="T35:AA35"/>
    <mergeCell ref="AC2:AF2"/>
    <mergeCell ref="AH2:AK2"/>
    <mergeCell ref="B1:AA1"/>
    <mergeCell ref="B34:AA34"/>
    <mergeCell ref="B2:I2"/>
    <mergeCell ref="K2:R2"/>
    <mergeCell ref="T2:AA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19"/>
  <sheetViews>
    <sheetView workbookViewId="0">
      <selection activeCell="Z2" sqref="Z2:Z19"/>
    </sheetView>
  </sheetViews>
  <sheetFormatPr baseColWidth="10" defaultColWidth="10.7109375" defaultRowHeight="15" x14ac:dyDescent="0.25"/>
  <cols>
    <col min="1" max="1" width="7" bestFit="1" customWidth="1"/>
    <col min="2" max="2" width="12.5703125" bestFit="1" customWidth="1"/>
    <col min="3" max="11" width="2" bestFit="1" customWidth="1"/>
    <col min="12" max="62" width="3" bestFit="1" customWidth="1"/>
  </cols>
  <sheetData>
    <row r="1" spans="1:62" x14ac:dyDescent="0.25">
      <c r="B1" s="1" t="s">
        <v>4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</row>
    <row r="2" spans="1:62" x14ac:dyDescent="0.25">
      <c r="A2" s="1" t="s">
        <v>40</v>
      </c>
      <c r="B2" s="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</row>
    <row r="3" spans="1:62" x14ac:dyDescent="0.25">
      <c r="A3" s="1" t="s">
        <v>41</v>
      </c>
      <c r="B3" s="2">
        <v>2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3</v>
      </c>
      <c r="AO3">
        <v>3</v>
      </c>
      <c r="AP3">
        <v>3</v>
      </c>
      <c r="AQ3">
        <v>3</v>
      </c>
      <c r="AR3">
        <v>3</v>
      </c>
      <c r="AS3">
        <v>3</v>
      </c>
      <c r="AT3">
        <v>3</v>
      </c>
      <c r="AU3">
        <v>3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4</v>
      </c>
      <c r="BG3">
        <v>4</v>
      </c>
      <c r="BH3">
        <v>4</v>
      </c>
      <c r="BI3">
        <v>4</v>
      </c>
      <c r="BJ3">
        <v>4</v>
      </c>
    </row>
    <row r="4" spans="1:62" x14ac:dyDescent="0.25">
      <c r="A4" s="1" t="s">
        <v>42</v>
      </c>
      <c r="B4" s="2">
        <v>3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4</v>
      </c>
      <c r="BH4">
        <v>4</v>
      </c>
      <c r="BI4">
        <v>4</v>
      </c>
      <c r="BJ4">
        <v>4</v>
      </c>
    </row>
    <row r="5" spans="1:62" x14ac:dyDescent="0.25">
      <c r="A5" s="1" t="s">
        <v>43</v>
      </c>
      <c r="B5" s="2">
        <v>4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2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4</v>
      </c>
      <c r="BI5">
        <v>4</v>
      </c>
      <c r="BJ5">
        <v>4</v>
      </c>
    </row>
    <row r="6" spans="1:62" x14ac:dyDescent="0.25">
      <c r="A6" s="1" t="s">
        <v>44</v>
      </c>
      <c r="B6" s="2">
        <v>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>
        <v>3</v>
      </c>
      <c r="BI6">
        <v>4</v>
      </c>
      <c r="BJ6">
        <v>4</v>
      </c>
    </row>
    <row r="7" spans="1:62" x14ac:dyDescent="0.25">
      <c r="A7" s="1" t="s">
        <v>45</v>
      </c>
      <c r="B7" s="2">
        <v>6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4</v>
      </c>
    </row>
    <row r="8" spans="1:62" x14ac:dyDescent="0.25">
      <c r="A8" s="1" t="s">
        <v>46</v>
      </c>
      <c r="B8" s="2">
        <v>7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3</v>
      </c>
      <c r="BH8">
        <v>3</v>
      </c>
      <c r="BI8">
        <v>3</v>
      </c>
      <c r="BJ8">
        <v>3</v>
      </c>
    </row>
    <row r="9" spans="1:62" x14ac:dyDescent="0.25">
      <c r="A9" s="1" t="s">
        <v>47</v>
      </c>
      <c r="B9" s="2">
        <v>8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3</v>
      </c>
      <c r="AU9">
        <v>3</v>
      </c>
      <c r="AV9">
        <v>3</v>
      </c>
      <c r="AW9">
        <v>3</v>
      </c>
      <c r="AX9">
        <v>3</v>
      </c>
      <c r="AY9">
        <v>3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3</v>
      </c>
    </row>
    <row r="10" spans="1:62" x14ac:dyDescent="0.25">
      <c r="A10" s="1" t="s">
        <v>48</v>
      </c>
      <c r="B10" s="2">
        <v>9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>
        <v>3</v>
      </c>
      <c r="BJ10">
        <v>3</v>
      </c>
    </row>
    <row r="11" spans="1:62" x14ac:dyDescent="0.25">
      <c r="A11" s="1" t="s">
        <v>49</v>
      </c>
      <c r="B11" s="2">
        <v>10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3</v>
      </c>
      <c r="BJ11">
        <v>3</v>
      </c>
    </row>
    <row r="12" spans="1:62" x14ac:dyDescent="0.25">
      <c r="A12" s="1" t="s">
        <v>50</v>
      </c>
      <c r="B12" s="2">
        <v>11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2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3</v>
      </c>
      <c r="BG12">
        <v>3</v>
      </c>
      <c r="BH12">
        <v>3</v>
      </c>
      <c r="BI12">
        <v>3</v>
      </c>
      <c r="BJ12">
        <v>3</v>
      </c>
    </row>
    <row r="13" spans="1:62" x14ac:dyDescent="0.25">
      <c r="A13" s="1" t="s">
        <v>51</v>
      </c>
      <c r="B13" s="2">
        <v>12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2</v>
      </c>
      <c r="AG13">
        <v>2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3</v>
      </c>
    </row>
    <row r="14" spans="1:62" x14ac:dyDescent="0.25">
      <c r="A14" s="1" t="s">
        <v>52</v>
      </c>
      <c r="B14" s="2">
        <v>13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</row>
    <row r="15" spans="1:62" x14ac:dyDescent="0.25">
      <c r="A15" s="1" t="s">
        <v>53</v>
      </c>
      <c r="B15" s="2">
        <v>14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3</v>
      </c>
      <c r="BA15">
        <v>3</v>
      </c>
      <c r="BB15">
        <v>3</v>
      </c>
      <c r="BC15">
        <v>3</v>
      </c>
      <c r="BD15">
        <v>3</v>
      </c>
      <c r="BE15">
        <v>3</v>
      </c>
      <c r="BF15">
        <v>3</v>
      </c>
      <c r="BG15">
        <v>3</v>
      </c>
      <c r="BH15">
        <v>3</v>
      </c>
      <c r="BI15">
        <v>3</v>
      </c>
      <c r="BJ15">
        <v>3</v>
      </c>
    </row>
    <row r="16" spans="1:62" x14ac:dyDescent="0.25">
      <c r="A16" s="1" t="s">
        <v>54</v>
      </c>
      <c r="B16" s="2">
        <v>15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3</v>
      </c>
      <c r="BI16">
        <v>3</v>
      </c>
      <c r="BJ16">
        <v>3</v>
      </c>
    </row>
    <row r="17" spans="1:70" x14ac:dyDescent="0.25">
      <c r="A17" s="1" t="s">
        <v>55</v>
      </c>
      <c r="B17" s="2">
        <v>16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</row>
    <row r="18" spans="1:70" x14ac:dyDescent="0.25">
      <c r="A18" s="1" t="s">
        <v>56</v>
      </c>
      <c r="B18" s="2">
        <v>17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3</v>
      </c>
      <c r="BD18">
        <v>3</v>
      </c>
      <c r="BE18">
        <v>3</v>
      </c>
      <c r="BF18">
        <v>3</v>
      </c>
      <c r="BG18">
        <v>3</v>
      </c>
      <c r="BH18">
        <v>3</v>
      </c>
      <c r="BI18">
        <v>3</v>
      </c>
      <c r="BJ18">
        <v>3</v>
      </c>
      <c r="BR18">
        <v>3</v>
      </c>
    </row>
    <row r="19" spans="1:70" x14ac:dyDescent="0.25">
      <c r="A19" s="1" t="s">
        <v>57</v>
      </c>
      <c r="B19" s="2">
        <v>18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3</v>
      </c>
      <c r="BE19">
        <v>3</v>
      </c>
      <c r="BF19">
        <v>3</v>
      </c>
      <c r="BG19">
        <v>3</v>
      </c>
      <c r="BH19">
        <v>3</v>
      </c>
      <c r="BI19">
        <v>3</v>
      </c>
      <c r="BJ19"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55"/>
  <sheetViews>
    <sheetView workbookViewId="0">
      <selection activeCell="D17" sqref="D17"/>
    </sheetView>
  </sheetViews>
  <sheetFormatPr baseColWidth="10" defaultColWidth="10.7109375" defaultRowHeight="15" outlineLevelRow="1" x14ac:dyDescent="0.25"/>
  <cols>
    <col min="1" max="3" width="12.140625" customWidth="1"/>
    <col min="4" max="4" width="14.140625" customWidth="1"/>
    <col min="5" max="5" width="12.140625" customWidth="1"/>
    <col min="6" max="33" width="4.5703125" bestFit="1" customWidth="1"/>
    <col min="34" max="37" width="7.5703125" bestFit="1" customWidth="1"/>
  </cols>
  <sheetData>
    <row r="1" spans="1:5" ht="44.25" customHeight="1" x14ac:dyDescent="0.25">
      <c r="A1" s="26" t="s">
        <v>58</v>
      </c>
      <c r="B1" s="27" t="s">
        <v>59</v>
      </c>
      <c r="C1" s="28" t="s">
        <v>6</v>
      </c>
      <c r="D1" s="27" t="s">
        <v>60</v>
      </c>
      <c r="E1" s="50" t="s">
        <v>61</v>
      </c>
    </row>
    <row r="2" spans="1:5" ht="30.75" customHeight="1" x14ac:dyDescent="0.25">
      <c r="A2" s="29"/>
      <c r="B2" s="30"/>
      <c r="C2" s="31" t="s">
        <v>62</v>
      </c>
      <c r="D2" s="30"/>
      <c r="E2" s="51"/>
    </row>
    <row r="3" spans="1:5" x14ac:dyDescent="0.25">
      <c r="A3" s="29"/>
      <c r="B3" s="30"/>
      <c r="C3" s="30"/>
      <c r="D3" s="30"/>
      <c r="E3" s="51"/>
    </row>
    <row r="4" spans="1:5" x14ac:dyDescent="0.25">
      <c r="A4" s="29"/>
      <c r="B4" s="30"/>
      <c r="C4" s="30"/>
      <c r="D4" s="30"/>
      <c r="E4" s="51"/>
    </row>
    <row r="5" spans="1:5" x14ac:dyDescent="0.25">
      <c r="A5" s="9"/>
      <c r="E5" s="10"/>
    </row>
    <row r="6" spans="1:5" x14ac:dyDescent="0.25">
      <c r="A6" s="9">
        <v>1</v>
      </c>
      <c r="B6" t="s">
        <v>63</v>
      </c>
      <c r="C6">
        <v>35</v>
      </c>
      <c r="D6">
        <v>0.1</v>
      </c>
      <c r="E6" s="10">
        <v>0.1</v>
      </c>
    </row>
    <row r="7" spans="1:5" x14ac:dyDescent="0.25">
      <c r="A7" s="9">
        <v>2</v>
      </c>
      <c r="B7" t="s">
        <v>64</v>
      </c>
      <c r="C7">
        <v>34</v>
      </c>
      <c r="D7">
        <v>0.1</v>
      </c>
      <c r="E7" s="10">
        <v>0.2</v>
      </c>
    </row>
    <row r="8" spans="1:5" x14ac:dyDescent="0.25">
      <c r="A8" s="9">
        <v>3</v>
      </c>
      <c r="B8" t="s">
        <v>65</v>
      </c>
      <c r="C8">
        <v>33</v>
      </c>
      <c r="D8">
        <v>0.1</v>
      </c>
      <c r="E8" s="10">
        <v>0.3</v>
      </c>
    </row>
    <row r="9" spans="1:5" x14ac:dyDescent="0.25">
      <c r="A9" s="9">
        <v>4</v>
      </c>
      <c r="B9" t="s">
        <v>66</v>
      </c>
      <c r="C9">
        <v>32</v>
      </c>
      <c r="D9">
        <v>0.1</v>
      </c>
      <c r="E9" s="10">
        <v>0.4</v>
      </c>
    </row>
    <row r="10" spans="1:5" x14ac:dyDescent="0.25">
      <c r="A10" s="9">
        <v>5</v>
      </c>
      <c r="B10" t="s">
        <v>67</v>
      </c>
      <c r="C10">
        <v>31</v>
      </c>
      <c r="D10">
        <v>0.2</v>
      </c>
      <c r="E10" s="10">
        <v>0.5</v>
      </c>
    </row>
    <row r="11" spans="1:5" ht="15.75" thickBot="1" x14ac:dyDescent="0.3">
      <c r="A11" s="12">
        <v>6</v>
      </c>
      <c r="B11" s="13" t="s">
        <v>68</v>
      </c>
      <c r="C11" s="13">
        <v>0</v>
      </c>
      <c r="D11" s="13">
        <v>0</v>
      </c>
      <c r="E11" s="14">
        <v>1</v>
      </c>
    </row>
    <row r="13" spans="1:5" x14ac:dyDescent="0.25">
      <c r="A13" t="s">
        <v>3</v>
      </c>
      <c r="C13" s="32">
        <v>25.1</v>
      </c>
    </row>
    <row r="14" spans="1:5" x14ac:dyDescent="0.25">
      <c r="A14" t="s">
        <v>69</v>
      </c>
      <c r="C14" s="32">
        <v>22</v>
      </c>
    </row>
    <row r="15" spans="1:5" x14ac:dyDescent="0.25">
      <c r="A15" t="s">
        <v>12</v>
      </c>
      <c r="C15" s="32">
        <v>37</v>
      </c>
    </row>
    <row r="17" spans="1:37" x14ac:dyDescent="0.25">
      <c r="A17" t="s">
        <v>5</v>
      </c>
      <c r="C17">
        <f>IF(C14&lt;4.4,1,IF(AND(C14&gt;=4.5,C14&lt;=11.4),2,IF(AND(C14&gt;=11.5,C14&lt;=18.4),3,IF(AND(C14&gt;=18.5,C14&lt;=26.4),4,IF(AND(C14&gt;=26.5,C14&lt;=36),5,IF(C14&gt;=36,6))))))</f>
        <v>4</v>
      </c>
    </row>
    <row r="18" spans="1:37" x14ac:dyDescent="0.25">
      <c r="A18" t="s">
        <v>6</v>
      </c>
      <c r="C18" s="32">
        <f>VLOOKUP(C17,$A$6:$C$11,3,FALSE)</f>
        <v>32</v>
      </c>
    </row>
    <row r="20" spans="1:37" x14ac:dyDescent="0.25">
      <c r="C20" t="str">
        <f>IF(C15&gt;36,"Herabsetzung",IF(AND(C15&lt;=36,C15&gt;=C18),"Puffer","Heraufsetzung"))</f>
        <v>Herabsetzung</v>
      </c>
    </row>
    <row r="22" spans="1:37" x14ac:dyDescent="0.25">
      <c r="A22" t="s">
        <v>7</v>
      </c>
      <c r="C22" s="32">
        <f>IF($C$20="Heraufsetzung",INDEX($C$395:$D$755,MATCH($C$13,$C$394:$C$755,0),MATCH($A$22,$D$394,0)),IF($C$20="Puffer",$C$13,IF($C$20="Herabsetzung",INDEX($C$29:$AK$389,MATCH($C$13,$C$29:$C$389,0),MATCH($C$15,$C$28:$AK$28,0)))))</f>
        <v>24.700000000000003</v>
      </c>
    </row>
    <row r="25" spans="1:37" ht="15.75" thickBot="1" x14ac:dyDescent="0.3"/>
    <row r="26" spans="1:37" ht="15.75" thickBot="1" x14ac:dyDescent="0.3">
      <c r="D26" s="52" t="s">
        <v>70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4"/>
    </row>
    <row r="27" spans="1:37" ht="15.75" thickBot="1" x14ac:dyDescent="0.3">
      <c r="D27" s="52" t="s">
        <v>71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4"/>
    </row>
    <row r="28" spans="1:37" ht="15.75" thickBot="1" x14ac:dyDescent="0.3">
      <c r="C28" s="33" t="s">
        <v>3</v>
      </c>
      <c r="D28" s="34">
        <v>37</v>
      </c>
      <c r="E28" s="35">
        <v>38</v>
      </c>
      <c r="F28" s="35">
        <v>39</v>
      </c>
      <c r="G28" s="35">
        <v>40</v>
      </c>
      <c r="H28" s="35">
        <v>41</v>
      </c>
      <c r="I28" s="35">
        <v>42</v>
      </c>
      <c r="J28" s="35">
        <v>43</v>
      </c>
      <c r="K28" s="35">
        <v>44</v>
      </c>
      <c r="L28" s="35">
        <v>45</v>
      </c>
      <c r="M28" s="35">
        <v>46</v>
      </c>
      <c r="N28" s="35">
        <v>47</v>
      </c>
      <c r="O28" s="35">
        <v>48</v>
      </c>
      <c r="P28" s="35">
        <v>49</v>
      </c>
      <c r="Q28" s="35">
        <v>50</v>
      </c>
      <c r="R28" s="35">
        <v>51</v>
      </c>
      <c r="S28" s="35">
        <v>52</v>
      </c>
      <c r="T28" s="35">
        <v>53</v>
      </c>
      <c r="U28" s="35">
        <v>54</v>
      </c>
      <c r="V28" s="35">
        <v>55</v>
      </c>
      <c r="W28" s="35">
        <v>56</v>
      </c>
      <c r="X28" s="35">
        <v>57</v>
      </c>
      <c r="Y28" s="35">
        <v>58</v>
      </c>
      <c r="Z28" s="35">
        <v>59</v>
      </c>
      <c r="AA28" s="35">
        <v>60</v>
      </c>
      <c r="AB28" s="35">
        <v>61</v>
      </c>
      <c r="AC28" s="35">
        <v>62</v>
      </c>
      <c r="AD28" s="35">
        <v>63</v>
      </c>
      <c r="AE28" s="35">
        <v>64</v>
      </c>
      <c r="AF28" s="35">
        <v>65</v>
      </c>
      <c r="AG28" s="35">
        <v>66</v>
      </c>
      <c r="AH28" s="35">
        <v>67</v>
      </c>
      <c r="AI28" s="35">
        <v>68</v>
      </c>
      <c r="AJ28" s="35">
        <v>69</v>
      </c>
      <c r="AK28" s="36">
        <v>70</v>
      </c>
    </row>
    <row r="29" spans="1:37" x14ac:dyDescent="0.25">
      <c r="C29" s="37">
        <v>0</v>
      </c>
      <c r="D29" s="4">
        <f t="shared" ref="D29:AK32" si="0">(IF(C29&lt;=4.4,C29-$E$6,IF(AND(C29&gt;=4.5,C29&lt;=11.4),C29-$E$7,IF(AND(C29&gt;=11.5,C29&lt;=18.4),C29-$E$8,IF(AND(C29&gt;=18.5,C29&lt;=26.4),C29-$E$9,IF(AND(C29&gt;=26.4,C29&lt;=36),C29-$E$10,IF(C29&gt;=37,C29-$E$11)))))))</f>
        <v>-0.1</v>
      </c>
      <c r="E29" s="4">
        <f t="shared" si="0"/>
        <v>-0.2</v>
      </c>
      <c r="F29" s="4">
        <f t="shared" si="0"/>
        <v>-0.30000000000000004</v>
      </c>
      <c r="G29" s="4">
        <f t="shared" si="0"/>
        <v>-0.4</v>
      </c>
      <c r="H29" s="4">
        <f t="shared" si="0"/>
        <v>-0.5</v>
      </c>
      <c r="I29" s="4">
        <f t="shared" si="0"/>
        <v>-0.6</v>
      </c>
      <c r="J29" s="4">
        <f t="shared" si="0"/>
        <v>-0.7</v>
      </c>
      <c r="K29" s="4">
        <f t="shared" si="0"/>
        <v>-0.79999999999999993</v>
      </c>
      <c r="L29" s="4">
        <f t="shared" si="0"/>
        <v>-0.89999999999999991</v>
      </c>
      <c r="M29" s="4">
        <f t="shared" si="0"/>
        <v>-0.99999999999999989</v>
      </c>
      <c r="N29" s="4">
        <f t="shared" si="0"/>
        <v>-1.0999999999999999</v>
      </c>
      <c r="O29" s="4">
        <f t="shared" si="0"/>
        <v>-1.2</v>
      </c>
      <c r="P29" s="4">
        <f t="shared" si="0"/>
        <v>-1.3</v>
      </c>
      <c r="Q29" s="4">
        <f t="shared" si="0"/>
        <v>-1.4000000000000001</v>
      </c>
      <c r="R29" s="4">
        <f t="shared" si="0"/>
        <v>-1.5000000000000002</v>
      </c>
      <c r="S29" s="4">
        <f t="shared" si="0"/>
        <v>-1.6000000000000003</v>
      </c>
      <c r="T29" s="4">
        <f t="shared" si="0"/>
        <v>-1.7000000000000004</v>
      </c>
      <c r="U29" s="4">
        <f t="shared" si="0"/>
        <v>-1.8000000000000005</v>
      </c>
      <c r="V29" s="4">
        <f t="shared" si="0"/>
        <v>-1.9000000000000006</v>
      </c>
      <c r="W29" s="4">
        <f t="shared" si="0"/>
        <v>-2.0000000000000004</v>
      </c>
      <c r="X29" s="4">
        <f t="shared" si="0"/>
        <v>-2.1000000000000005</v>
      </c>
      <c r="Y29" s="4">
        <f t="shared" si="0"/>
        <v>-2.2000000000000006</v>
      </c>
      <c r="Z29" s="4">
        <f t="shared" si="0"/>
        <v>-2.3000000000000007</v>
      </c>
      <c r="AA29" s="4">
        <f t="shared" si="0"/>
        <v>-2.4000000000000008</v>
      </c>
      <c r="AB29" s="4">
        <f t="shared" si="0"/>
        <v>-2.5000000000000009</v>
      </c>
      <c r="AC29" s="4">
        <f t="shared" si="0"/>
        <v>-2.600000000000001</v>
      </c>
      <c r="AD29" s="4">
        <f t="shared" si="0"/>
        <v>-2.7000000000000011</v>
      </c>
      <c r="AE29" s="4">
        <f t="shared" si="0"/>
        <v>-2.8000000000000012</v>
      </c>
      <c r="AF29" s="4">
        <f t="shared" si="0"/>
        <v>-2.9000000000000012</v>
      </c>
      <c r="AG29" s="4">
        <f t="shared" si="0"/>
        <v>-3.0000000000000013</v>
      </c>
      <c r="AH29" s="4">
        <f t="shared" si="0"/>
        <v>-3.1000000000000014</v>
      </c>
      <c r="AI29" s="4">
        <f t="shared" si="0"/>
        <v>-3.2000000000000015</v>
      </c>
      <c r="AJ29" s="4">
        <f t="shared" si="0"/>
        <v>-3.3000000000000016</v>
      </c>
      <c r="AK29" s="4">
        <f t="shared" si="0"/>
        <v>-3.4000000000000017</v>
      </c>
    </row>
    <row r="30" spans="1:37" outlineLevel="1" x14ac:dyDescent="0.25">
      <c r="C30" s="38">
        <v>0.1</v>
      </c>
      <c r="D30" s="4">
        <f t="shared" si="0"/>
        <v>0</v>
      </c>
      <c r="E30" s="4">
        <f t="shared" si="0"/>
        <v>-0.1</v>
      </c>
      <c r="F30" s="4">
        <f t="shared" si="0"/>
        <v>-0.2</v>
      </c>
      <c r="G30" s="4">
        <f t="shared" si="0"/>
        <v>-0.30000000000000004</v>
      </c>
      <c r="H30" s="4">
        <f t="shared" si="0"/>
        <v>-0.4</v>
      </c>
      <c r="I30" s="4">
        <f t="shared" si="0"/>
        <v>-0.5</v>
      </c>
      <c r="J30" s="4">
        <f t="shared" si="0"/>
        <v>-0.6</v>
      </c>
      <c r="K30" s="4">
        <f t="shared" si="0"/>
        <v>-0.7</v>
      </c>
      <c r="L30" s="4">
        <f t="shared" si="0"/>
        <v>-0.79999999999999993</v>
      </c>
      <c r="M30" s="4">
        <f t="shared" si="0"/>
        <v>-0.89999999999999991</v>
      </c>
      <c r="N30" s="4">
        <f t="shared" si="0"/>
        <v>-0.99999999999999989</v>
      </c>
      <c r="O30" s="4">
        <f t="shared" si="0"/>
        <v>-1.0999999999999999</v>
      </c>
      <c r="P30" s="4">
        <f t="shared" si="0"/>
        <v>-1.2</v>
      </c>
      <c r="Q30" s="4">
        <f t="shared" si="0"/>
        <v>-1.3</v>
      </c>
      <c r="R30" s="4">
        <f t="shared" si="0"/>
        <v>-1.4000000000000001</v>
      </c>
      <c r="S30" s="4">
        <f t="shared" si="0"/>
        <v>-1.5000000000000002</v>
      </c>
      <c r="T30" s="4">
        <f t="shared" si="0"/>
        <v>-1.6000000000000003</v>
      </c>
      <c r="U30" s="4">
        <f t="shared" si="0"/>
        <v>-1.7000000000000004</v>
      </c>
      <c r="V30" s="4">
        <f t="shared" si="0"/>
        <v>-1.8000000000000005</v>
      </c>
      <c r="W30" s="4">
        <f t="shared" si="0"/>
        <v>-1.9000000000000006</v>
      </c>
      <c r="X30" s="4">
        <f t="shared" si="0"/>
        <v>-2.0000000000000004</v>
      </c>
      <c r="Y30" s="4">
        <f t="shared" si="0"/>
        <v>-2.1000000000000005</v>
      </c>
      <c r="Z30" s="4">
        <f t="shared" si="0"/>
        <v>-2.2000000000000006</v>
      </c>
      <c r="AA30" s="4">
        <f t="shared" si="0"/>
        <v>-2.3000000000000007</v>
      </c>
      <c r="AB30" s="4">
        <f t="shared" si="0"/>
        <v>-2.4000000000000008</v>
      </c>
      <c r="AC30" s="4">
        <f t="shared" si="0"/>
        <v>-2.5000000000000009</v>
      </c>
      <c r="AD30" s="4">
        <f t="shared" si="0"/>
        <v>-2.600000000000001</v>
      </c>
      <c r="AE30" s="4">
        <f t="shared" si="0"/>
        <v>-2.7000000000000011</v>
      </c>
      <c r="AF30" s="4">
        <f t="shared" si="0"/>
        <v>-2.8000000000000012</v>
      </c>
      <c r="AG30" s="4">
        <f t="shared" si="0"/>
        <v>-2.9000000000000012</v>
      </c>
      <c r="AH30" s="4">
        <f t="shared" si="0"/>
        <v>-3.0000000000000013</v>
      </c>
      <c r="AI30" s="4">
        <f t="shared" si="0"/>
        <v>-3.1000000000000014</v>
      </c>
      <c r="AJ30" s="4">
        <f t="shared" si="0"/>
        <v>-3.2000000000000015</v>
      </c>
      <c r="AK30" s="4">
        <f t="shared" si="0"/>
        <v>-3.3000000000000016</v>
      </c>
    </row>
    <row r="31" spans="1:37" outlineLevel="1" x14ac:dyDescent="0.25">
      <c r="C31" s="38">
        <v>0.2</v>
      </c>
      <c r="D31" s="4">
        <f t="shared" si="0"/>
        <v>0.1</v>
      </c>
      <c r="E31" s="4">
        <f t="shared" si="0"/>
        <v>0</v>
      </c>
      <c r="F31" s="4">
        <f t="shared" si="0"/>
        <v>-0.1</v>
      </c>
      <c r="G31" s="4">
        <f t="shared" si="0"/>
        <v>-0.2</v>
      </c>
      <c r="H31" s="4">
        <f t="shared" si="0"/>
        <v>-0.30000000000000004</v>
      </c>
      <c r="I31" s="4">
        <f t="shared" si="0"/>
        <v>-0.4</v>
      </c>
      <c r="J31" s="4">
        <f t="shared" si="0"/>
        <v>-0.5</v>
      </c>
      <c r="K31" s="4">
        <f t="shared" si="0"/>
        <v>-0.6</v>
      </c>
      <c r="L31" s="4">
        <f t="shared" si="0"/>
        <v>-0.7</v>
      </c>
      <c r="M31" s="4">
        <f t="shared" si="0"/>
        <v>-0.79999999999999993</v>
      </c>
      <c r="N31" s="4">
        <f t="shared" si="0"/>
        <v>-0.89999999999999991</v>
      </c>
      <c r="O31" s="4">
        <f t="shared" si="0"/>
        <v>-0.99999999999999989</v>
      </c>
      <c r="P31" s="4">
        <f t="shared" si="0"/>
        <v>-1.0999999999999999</v>
      </c>
      <c r="Q31" s="4">
        <f t="shared" si="0"/>
        <v>-1.2</v>
      </c>
      <c r="R31" s="4">
        <f t="shared" si="0"/>
        <v>-1.3</v>
      </c>
      <c r="S31" s="4">
        <f t="shared" si="0"/>
        <v>-1.4000000000000001</v>
      </c>
      <c r="T31" s="4">
        <f t="shared" si="0"/>
        <v>-1.5000000000000002</v>
      </c>
      <c r="U31" s="4">
        <f t="shared" si="0"/>
        <v>-1.6000000000000003</v>
      </c>
      <c r="V31" s="4">
        <f t="shared" si="0"/>
        <v>-1.7000000000000004</v>
      </c>
      <c r="W31" s="4">
        <f t="shared" si="0"/>
        <v>-1.8000000000000005</v>
      </c>
      <c r="X31" s="4">
        <f t="shared" si="0"/>
        <v>-1.9000000000000006</v>
      </c>
      <c r="Y31" s="4">
        <f t="shared" si="0"/>
        <v>-2.0000000000000004</v>
      </c>
      <c r="Z31" s="4">
        <f t="shared" si="0"/>
        <v>-2.1000000000000005</v>
      </c>
      <c r="AA31" s="4">
        <f t="shared" si="0"/>
        <v>-2.2000000000000006</v>
      </c>
      <c r="AB31" s="4">
        <f t="shared" si="0"/>
        <v>-2.3000000000000007</v>
      </c>
      <c r="AC31" s="4">
        <f t="shared" si="0"/>
        <v>-2.4000000000000008</v>
      </c>
      <c r="AD31" s="4">
        <f t="shared" si="0"/>
        <v>-2.5000000000000009</v>
      </c>
      <c r="AE31" s="4">
        <f t="shared" si="0"/>
        <v>-2.600000000000001</v>
      </c>
      <c r="AF31" s="4">
        <f t="shared" si="0"/>
        <v>-2.7000000000000011</v>
      </c>
      <c r="AG31" s="4">
        <f t="shared" si="0"/>
        <v>-2.8000000000000012</v>
      </c>
      <c r="AH31" s="4">
        <f t="shared" si="0"/>
        <v>-2.9000000000000012</v>
      </c>
      <c r="AI31" s="4">
        <f t="shared" si="0"/>
        <v>-3.0000000000000013</v>
      </c>
      <c r="AJ31" s="4">
        <f t="shared" si="0"/>
        <v>-3.1000000000000014</v>
      </c>
      <c r="AK31" s="4">
        <f t="shared" si="0"/>
        <v>-3.2000000000000015</v>
      </c>
    </row>
    <row r="32" spans="1:37" outlineLevel="1" x14ac:dyDescent="0.25">
      <c r="C32" s="38">
        <v>0.3</v>
      </c>
      <c r="D32" s="4">
        <f>(IF(C32&lt;=4.4,C32-$E$6,IF(AND(C32&gt;=4.5,C32&lt;=11.4),C32-$E$7,IF(AND(C32&gt;=11.5,C32&lt;=18.4),C32-$E$8,IF(AND(C32&gt;=18.5,C32&lt;=26.4),C32-$E$9,IF(AND(C32&gt;=26.4,C32&lt;=36),C32-$E$10,IF(C32&gt;=37,C32-$E$11)))))))</f>
        <v>0.19999999999999998</v>
      </c>
      <c r="E32" s="4">
        <f t="shared" si="0"/>
        <v>9.9999999999999978E-2</v>
      </c>
      <c r="F32" s="4">
        <f t="shared" si="0"/>
        <v>-2.7755575615628914E-17</v>
      </c>
      <c r="G32" s="4">
        <f t="shared" si="0"/>
        <v>-0.10000000000000003</v>
      </c>
      <c r="H32" s="4">
        <f t="shared" si="0"/>
        <v>-0.20000000000000004</v>
      </c>
      <c r="I32" s="4">
        <f t="shared" si="0"/>
        <v>-0.30000000000000004</v>
      </c>
      <c r="J32" s="4">
        <f t="shared" si="0"/>
        <v>-0.4</v>
      </c>
      <c r="K32" s="4">
        <f t="shared" si="0"/>
        <v>-0.5</v>
      </c>
      <c r="L32" s="4">
        <f t="shared" si="0"/>
        <v>-0.6</v>
      </c>
      <c r="M32" s="4">
        <f t="shared" si="0"/>
        <v>-0.7</v>
      </c>
      <c r="N32" s="4">
        <f t="shared" si="0"/>
        <v>-0.79999999999999993</v>
      </c>
      <c r="O32" s="4">
        <f t="shared" si="0"/>
        <v>-0.89999999999999991</v>
      </c>
      <c r="P32" s="4">
        <f t="shared" si="0"/>
        <v>-0.99999999999999989</v>
      </c>
      <c r="Q32" s="4">
        <f t="shared" si="0"/>
        <v>-1.0999999999999999</v>
      </c>
      <c r="R32" s="4">
        <f t="shared" si="0"/>
        <v>-1.2</v>
      </c>
      <c r="S32" s="4">
        <f t="shared" si="0"/>
        <v>-1.3</v>
      </c>
      <c r="T32" s="4">
        <f t="shared" si="0"/>
        <v>-1.4000000000000001</v>
      </c>
      <c r="U32" s="4">
        <f t="shared" si="0"/>
        <v>-1.5000000000000002</v>
      </c>
      <c r="V32" s="4">
        <f t="shared" si="0"/>
        <v>-1.6000000000000003</v>
      </c>
      <c r="W32" s="4">
        <f t="shared" si="0"/>
        <v>-1.7000000000000004</v>
      </c>
      <c r="X32" s="4">
        <f t="shared" si="0"/>
        <v>-1.8000000000000005</v>
      </c>
      <c r="Y32" s="4">
        <f t="shared" si="0"/>
        <v>-1.9000000000000006</v>
      </c>
      <c r="Z32" s="4">
        <f t="shared" si="0"/>
        <v>-2.0000000000000004</v>
      </c>
      <c r="AA32" s="4">
        <f t="shared" si="0"/>
        <v>-2.1000000000000005</v>
      </c>
      <c r="AB32" s="4">
        <f t="shared" si="0"/>
        <v>-2.2000000000000006</v>
      </c>
      <c r="AC32" s="4">
        <f t="shared" si="0"/>
        <v>-2.3000000000000007</v>
      </c>
      <c r="AD32" s="4">
        <f t="shared" si="0"/>
        <v>-2.4000000000000008</v>
      </c>
      <c r="AE32" s="4">
        <f t="shared" si="0"/>
        <v>-2.5000000000000009</v>
      </c>
      <c r="AF32" s="4">
        <f t="shared" si="0"/>
        <v>-2.600000000000001</v>
      </c>
      <c r="AG32" s="4">
        <f t="shared" si="0"/>
        <v>-2.7000000000000011</v>
      </c>
      <c r="AH32" s="4">
        <f t="shared" si="0"/>
        <v>-2.8000000000000012</v>
      </c>
      <c r="AI32" s="4">
        <f t="shared" si="0"/>
        <v>-2.9000000000000012</v>
      </c>
      <c r="AJ32" s="4">
        <f t="shared" si="0"/>
        <v>-3.0000000000000013</v>
      </c>
      <c r="AK32" s="4">
        <f t="shared" si="0"/>
        <v>-3.1000000000000014</v>
      </c>
    </row>
    <row r="33" spans="3:37" outlineLevel="1" x14ac:dyDescent="0.25">
      <c r="C33" s="38">
        <v>0.4</v>
      </c>
      <c r="D33" s="4">
        <f t="shared" ref="D33:AK40" si="1">(IF(C33&lt;=4.4,C33-$E$6,IF(AND(C33&gt;=4.5,C33&lt;=11.4),C33-$E$7,IF(AND(C33&gt;=11.5,C33&lt;=18.4),C33-$E$8,IF(AND(C33&gt;=18.5,C33&lt;=26.4),C33-$E$9,IF(AND(C33&gt;=26.4,C33&lt;=36),C33-$E$10,IF(C33&gt;=37,C33-$E$11)))))))</f>
        <v>0.30000000000000004</v>
      </c>
      <c r="E33" s="4">
        <f t="shared" si="1"/>
        <v>0.20000000000000004</v>
      </c>
      <c r="F33" s="4">
        <f t="shared" si="1"/>
        <v>0.10000000000000003</v>
      </c>
      <c r="G33" s="4">
        <f t="shared" si="1"/>
        <v>2.7755575615628914E-17</v>
      </c>
      <c r="H33" s="4">
        <f t="shared" si="1"/>
        <v>-9.9999999999999978E-2</v>
      </c>
      <c r="I33" s="4">
        <f t="shared" si="1"/>
        <v>-0.19999999999999998</v>
      </c>
      <c r="J33" s="4">
        <f t="shared" si="1"/>
        <v>-0.3</v>
      </c>
      <c r="K33" s="4">
        <f t="shared" si="1"/>
        <v>-0.4</v>
      </c>
      <c r="L33" s="4">
        <f t="shared" si="1"/>
        <v>-0.5</v>
      </c>
      <c r="M33" s="4">
        <f t="shared" si="1"/>
        <v>-0.6</v>
      </c>
      <c r="N33" s="4">
        <f t="shared" si="1"/>
        <v>-0.7</v>
      </c>
      <c r="O33" s="4">
        <f t="shared" si="1"/>
        <v>-0.79999999999999993</v>
      </c>
      <c r="P33" s="4">
        <f t="shared" si="1"/>
        <v>-0.89999999999999991</v>
      </c>
      <c r="Q33" s="4">
        <f t="shared" si="1"/>
        <v>-0.99999999999999989</v>
      </c>
      <c r="R33" s="4">
        <f t="shared" si="1"/>
        <v>-1.0999999999999999</v>
      </c>
      <c r="S33" s="4">
        <f t="shared" si="1"/>
        <v>-1.2</v>
      </c>
      <c r="T33" s="4">
        <f t="shared" si="1"/>
        <v>-1.3</v>
      </c>
      <c r="U33" s="4">
        <f t="shared" si="1"/>
        <v>-1.4000000000000001</v>
      </c>
      <c r="V33" s="4">
        <f t="shared" si="1"/>
        <v>-1.5000000000000002</v>
      </c>
      <c r="W33" s="4">
        <f t="shared" si="1"/>
        <v>-1.6000000000000003</v>
      </c>
      <c r="X33" s="4">
        <f t="shared" si="1"/>
        <v>-1.7000000000000004</v>
      </c>
      <c r="Y33" s="4">
        <f t="shared" si="1"/>
        <v>-1.8000000000000005</v>
      </c>
      <c r="Z33" s="4">
        <f t="shared" si="1"/>
        <v>-1.9000000000000006</v>
      </c>
      <c r="AA33" s="4">
        <f t="shared" si="1"/>
        <v>-2.0000000000000004</v>
      </c>
      <c r="AB33" s="4">
        <f t="shared" si="1"/>
        <v>-2.1000000000000005</v>
      </c>
      <c r="AC33" s="4">
        <f t="shared" si="1"/>
        <v>-2.2000000000000006</v>
      </c>
      <c r="AD33" s="4">
        <f t="shared" si="1"/>
        <v>-2.3000000000000007</v>
      </c>
      <c r="AE33" s="4">
        <f t="shared" si="1"/>
        <v>-2.4000000000000008</v>
      </c>
      <c r="AF33" s="4">
        <f t="shared" si="1"/>
        <v>-2.5000000000000009</v>
      </c>
      <c r="AG33" s="4">
        <f t="shared" si="1"/>
        <v>-2.600000000000001</v>
      </c>
      <c r="AH33" s="4">
        <f t="shared" si="1"/>
        <v>-2.7000000000000011</v>
      </c>
      <c r="AI33" s="4">
        <f t="shared" si="1"/>
        <v>-2.8000000000000012</v>
      </c>
      <c r="AJ33" s="4">
        <f t="shared" si="1"/>
        <v>-2.9000000000000012</v>
      </c>
      <c r="AK33" s="4">
        <f t="shared" si="1"/>
        <v>-3.0000000000000013</v>
      </c>
    </row>
    <row r="34" spans="3:37" outlineLevel="1" x14ac:dyDescent="0.25">
      <c r="C34" s="38">
        <v>0.5</v>
      </c>
      <c r="D34" s="4">
        <f t="shared" si="1"/>
        <v>0.4</v>
      </c>
      <c r="E34" s="4">
        <f t="shared" si="1"/>
        <v>0.30000000000000004</v>
      </c>
      <c r="F34" s="4">
        <f t="shared" si="1"/>
        <v>0.20000000000000004</v>
      </c>
      <c r="G34" s="4">
        <f t="shared" si="1"/>
        <v>0.10000000000000003</v>
      </c>
      <c r="H34" s="4">
        <f t="shared" si="1"/>
        <v>2.7755575615628914E-17</v>
      </c>
      <c r="I34" s="4">
        <f t="shared" si="1"/>
        <v>-9.9999999999999978E-2</v>
      </c>
      <c r="J34" s="4">
        <f t="shared" si="1"/>
        <v>-0.19999999999999998</v>
      </c>
      <c r="K34" s="4">
        <f t="shared" si="1"/>
        <v>-0.3</v>
      </c>
      <c r="L34" s="4">
        <f t="shared" si="1"/>
        <v>-0.4</v>
      </c>
      <c r="M34" s="4">
        <f t="shared" si="1"/>
        <v>-0.5</v>
      </c>
      <c r="N34" s="4">
        <f t="shared" si="1"/>
        <v>-0.6</v>
      </c>
      <c r="O34" s="4">
        <f t="shared" si="1"/>
        <v>-0.7</v>
      </c>
      <c r="P34" s="4">
        <f t="shared" si="1"/>
        <v>-0.79999999999999993</v>
      </c>
      <c r="Q34" s="4">
        <f t="shared" si="1"/>
        <v>-0.89999999999999991</v>
      </c>
      <c r="R34" s="4">
        <f t="shared" si="1"/>
        <v>-0.99999999999999989</v>
      </c>
      <c r="S34" s="4">
        <f t="shared" si="1"/>
        <v>-1.0999999999999999</v>
      </c>
      <c r="T34" s="4">
        <f t="shared" si="1"/>
        <v>-1.2</v>
      </c>
      <c r="U34" s="4">
        <f t="shared" si="1"/>
        <v>-1.3</v>
      </c>
      <c r="V34" s="4">
        <f t="shared" si="1"/>
        <v>-1.4000000000000001</v>
      </c>
      <c r="W34" s="4">
        <f t="shared" si="1"/>
        <v>-1.5000000000000002</v>
      </c>
      <c r="X34" s="4">
        <f t="shared" si="1"/>
        <v>-1.6000000000000003</v>
      </c>
      <c r="Y34" s="4">
        <f t="shared" si="1"/>
        <v>-1.7000000000000004</v>
      </c>
      <c r="Z34" s="4">
        <f t="shared" si="1"/>
        <v>-1.8000000000000005</v>
      </c>
      <c r="AA34" s="4">
        <f t="shared" si="1"/>
        <v>-1.9000000000000006</v>
      </c>
      <c r="AB34" s="4">
        <f t="shared" si="1"/>
        <v>-2.0000000000000004</v>
      </c>
      <c r="AC34" s="4">
        <f t="shared" si="1"/>
        <v>-2.1000000000000005</v>
      </c>
      <c r="AD34" s="4">
        <f t="shared" si="1"/>
        <v>-2.2000000000000006</v>
      </c>
      <c r="AE34" s="4">
        <f t="shared" si="1"/>
        <v>-2.3000000000000007</v>
      </c>
      <c r="AF34" s="4">
        <f t="shared" si="1"/>
        <v>-2.4000000000000008</v>
      </c>
      <c r="AG34" s="4">
        <f t="shared" si="1"/>
        <v>-2.5000000000000009</v>
      </c>
      <c r="AH34" s="4">
        <f t="shared" si="1"/>
        <v>-2.600000000000001</v>
      </c>
      <c r="AI34" s="4">
        <f t="shared" si="1"/>
        <v>-2.7000000000000011</v>
      </c>
      <c r="AJ34" s="4">
        <f t="shared" si="1"/>
        <v>-2.8000000000000012</v>
      </c>
      <c r="AK34" s="4">
        <f t="shared" si="1"/>
        <v>-2.9000000000000012</v>
      </c>
    </row>
    <row r="35" spans="3:37" outlineLevel="1" x14ac:dyDescent="0.25">
      <c r="C35" s="38">
        <v>0.6</v>
      </c>
      <c r="D35" s="4">
        <f t="shared" si="1"/>
        <v>0.5</v>
      </c>
      <c r="E35" s="4">
        <f t="shared" si="1"/>
        <v>0.4</v>
      </c>
      <c r="F35" s="4">
        <f t="shared" si="1"/>
        <v>0.30000000000000004</v>
      </c>
      <c r="G35" s="4">
        <f t="shared" si="1"/>
        <v>0.20000000000000004</v>
      </c>
      <c r="H35" s="4">
        <f t="shared" si="1"/>
        <v>0.10000000000000003</v>
      </c>
      <c r="I35" s="4">
        <f t="shared" si="1"/>
        <v>2.7755575615628914E-17</v>
      </c>
      <c r="J35" s="4">
        <f t="shared" si="1"/>
        <v>-9.9999999999999978E-2</v>
      </c>
      <c r="K35" s="4">
        <f t="shared" si="1"/>
        <v>-0.19999999999999998</v>
      </c>
      <c r="L35" s="4">
        <f t="shared" si="1"/>
        <v>-0.3</v>
      </c>
      <c r="M35" s="4">
        <f t="shared" si="1"/>
        <v>-0.4</v>
      </c>
      <c r="N35" s="4">
        <f t="shared" si="1"/>
        <v>-0.5</v>
      </c>
      <c r="O35" s="4">
        <f t="shared" si="1"/>
        <v>-0.6</v>
      </c>
      <c r="P35" s="4">
        <f t="shared" si="1"/>
        <v>-0.7</v>
      </c>
      <c r="Q35" s="4">
        <f t="shared" si="1"/>
        <v>-0.79999999999999993</v>
      </c>
      <c r="R35" s="4">
        <f t="shared" si="1"/>
        <v>-0.89999999999999991</v>
      </c>
      <c r="S35" s="4">
        <f t="shared" si="1"/>
        <v>-0.99999999999999989</v>
      </c>
      <c r="T35" s="4">
        <f t="shared" si="1"/>
        <v>-1.0999999999999999</v>
      </c>
      <c r="U35" s="4">
        <f t="shared" si="1"/>
        <v>-1.2</v>
      </c>
      <c r="V35" s="4">
        <f t="shared" si="1"/>
        <v>-1.3</v>
      </c>
      <c r="W35" s="4">
        <f t="shared" si="1"/>
        <v>-1.4000000000000001</v>
      </c>
      <c r="X35" s="4">
        <f t="shared" si="1"/>
        <v>-1.5000000000000002</v>
      </c>
      <c r="Y35" s="4">
        <f t="shared" si="1"/>
        <v>-1.6000000000000003</v>
      </c>
      <c r="Z35" s="4">
        <f t="shared" si="1"/>
        <v>-1.7000000000000004</v>
      </c>
      <c r="AA35" s="4">
        <f t="shared" si="1"/>
        <v>-1.8000000000000005</v>
      </c>
      <c r="AB35" s="4">
        <f t="shared" si="1"/>
        <v>-1.9000000000000006</v>
      </c>
      <c r="AC35" s="4">
        <f t="shared" si="1"/>
        <v>-2.0000000000000004</v>
      </c>
      <c r="AD35" s="4">
        <f t="shared" si="1"/>
        <v>-2.1000000000000005</v>
      </c>
      <c r="AE35" s="4">
        <f t="shared" si="1"/>
        <v>-2.2000000000000006</v>
      </c>
      <c r="AF35" s="4">
        <f t="shared" si="1"/>
        <v>-2.3000000000000007</v>
      </c>
      <c r="AG35" s="4">
        <f t="shared" si="1"/>
        <v>-2.4000000000000008</v>
      </c>
      <c r="AH35" s="4">
        <f t="shared" si="1"/>
        <v>-2.5000000000000009</v>
      </c>
      <c r="AI35" s="4">
        <f t="shared" si="1"/>
        <v>-2.600000000000001</v>
      </c>
      <c r="AJ35" s="4">
        <f t="shared" si="1"/>
        <v>-2.7000000000000011</v>
      </c>
      <c r="AK35" s="4">
        <f t="shared" si="1"/>
        <v>-2.8000000000000012</v>
      </c>
    </row>
    <row r="36" spans="3:37" outlineLevel="1" x14ac:dyDescent="0.25">
      <c r="C36" s="38">
        <v>0.7</v>
      </c>
      <c r="D36" s="4">
        <f t="shared" si="1"/>
        <v>0.6</v>
      </c>
      <c r="E36" s="4">
        <f t="shared" si="1"/>
        <v>0.5</v>
      </c>
      <c r="F36" s="4">
        <f t="shared" si="1"/>
        <v>0.4</v>
      </c>
      <c r="G36" s="4">
        <f t="shared" si="1"/>
        <v>0.30000000000000004</v>
      </c>
      <c r="H36" s="4">
        <f t="shared" si="1"/>
        <v>0.20000000000000004</v>
      </c>
      <c r="I36" s="4">
        <f t="shared" si="1"/>
        <v>0.10000000000000003</v>
      </c>
      <c r="J36" s="4">
        <f t="shared" si="1"/>
        <v>2.7755575615628914E-17</v>
      </c>
      <c r="K36" s="4">
        <f t="shared" si="1"/>
        <v>-9.9999999999999978E-2</v>
      </c>
      <c r="L36" s="4">
        <f t="shared" si="1"/>
        <v>-0.19999999999999998</v>
      </c>
      <c r="M36" s="4">
        <f t="shared" si="1"/>
        <v>-0.3</v>
      </c>
      <c r="N36" s="4">
        <f t="shared" si="1"/>
        <v>-0.4</v>
      </c>
      <c r="O36" s="4">
        <f t="shared" si="1"/>
        <v>-0.5</v>
      </c>
      <c r="P36" s="4">
        <f t="shared" si="1"/>
        <v>-0.6</v>
      </c>
      <c r="Q36" s="4">
        <f t="shared" si="1"/>
        <v>-0.7</v>
      </c>
      <c r="R36" s="4">
        <f t="shared" si="1"/>
        <v>-0.79999999999999993</v>
      </c>
      <c r="S36" s="4">
        <f t="shared" si="1"/>
        <v>-0.89999999999999991</v>
      </c>
      <c r="T36" s="4">
        <f t="shared" si="1"/>
        <v>-0.99999999999999989</v>
      </c>
      <c r="U36" s="4">
        <f t="shared" si="1"/>
        <v>-1.0999999999999999</v>
      </c>
      <c r="V36" s="4">
        <f t="shared" si="1"/>
        <v>-1.2</v>
      </c>
      <c r="W36" s="4">
        <f t="shared" si="1"/>
        <v>-1.3</v>
      </c>
      <c r="X36" s="4">
        <f t="shared" si="1"/>
        <v>-1.4000000000000001</v>
      </c>
      <c r="Y36" s="4">
        <f t="shared" si="1"/>
        <v>-1.5000000000000002</v>
      </c>
      <c r="Z36" s="4">
        <f t="shared" si="1"/>
        <v>-1.6000000000000003</v>
      </c>
      <c r="AA36" s="4">
        <f t="shared" si="1"/>
        <v>-1.7000000000000004</v>
      </c>
      <c r="AB36" s="4">
        <f t="shared" si="1"/>
        <v>-1.8000000000000005</v>
      </c>
      <c r="AC36" s="4">
        <f t="shared" si="1"/>
        <v>-1.9000000000000006</v>
      </c>
      <c r="AD36" s="4">
        <f t="shared" si="1"/>
        <v>-2.0000000000000004</v>
      </c>
      <c r="AE36" s="4">
        <f t="shared" si="1"/>
        <v>-2.1000000000000005</v>
      </c>
      <c r="AF36" s="4">
        <f t="shared" si="1"/>
        <v>-2.2000000000000006</v>
      </c>
      <c r="AG36" s="4">
        <f t="shared" si="1"/>
        <v>-2.3000000000000007</v>
      </c>
      <c r="AH36" s="4">
        <f t="shared" si="1"/>
        <v>-2.4000000000000008</v>
      </c>
      <c r="AI36" s="4">
        <f t="shared" si="1"/>
        <v>-2.5000000000000009</v>
      </c>
      <c r="AJ36" s="4">
        <f t="shared" si="1"/>
        <v>-2.600000000000001</v>
      </c>
      <c r="AK36" s="4">
        <f t="shared" si="1"/>
        <v>-2.7000000000000011</v>
      </c>
    </row>
    <row r="37" spans="3:37" outlineLevel="1" x14ac:dyDescent="0.25">
      <c r="C37" s="38">
        <v>0.8</v>
      </c>
      <c r="D37" s="4">
        <f t="shared" si="1"/>
        <v>0.70000000000000007</v>
      </c>
      <c r="E37" s="4">
        <f t="shared" si="1"/>
        <v>0.60000000000000009</v>
      </c>
      <c r="F37" s="4">
        <f t="shared" si="1"/>
        <v>0.50000000000000011</v>
      </c>
      <c r="G37" s="4">
        <f t="shared" si="1"/>
        <v>0.40000000000000013</v>
      </c>
      <c r="H37" s="4">
        <f t="shared" si="1"/>
        <v>0.30000000000000016</v>
      </c>
      <c r="I37" s="4">
        <f t="shared" si="1"/>
        <v>0.20000000000000015</v>
      </c>
      <c r="J37" s="4">
        <f t="shared" si="1"/>
        <v>0.10000000000000014</v>
      </c>
      <c r="K37" s="4">
        <f t="shared" si="1"/>
        <v>1.3877787807814457E-16</v>
      </c>
      <c r="L37" s="4">
        <f t="shared" si="1"/>
        <v>-9.9999999999999867E-2</v>
      </c>
      <c r="M37" s="4">
        <f t="shared" si="1"/>
        <v>-0.19999999999999987</v>
      </c>
      <c r="N37" s="4">
        <f t="shared" si="1"/>
        <v>-0.29999999999999988</v>
      </c>
      <c r="O37" s="4">
        <f t="shared" si="1"/>
        <v>-0.39999999999999991</v>
      </c>
      <c r="P37" s="4">
        <f t="shared" si="1"/>
        <v>-0.49999999999999989</v>
      </c>
      <c r="Q37" s="4">
        <f t="shared" si="1"/>
        <v>-0.59999999999999987</v>
      </c>
      <c r="R37" s="4">
        <f t="shared" si="1"/>
        <v>-0.69999999999999984</v>
      </c>
      <c r="S37" s="4">
        <f t="shared" si="1"/>
        <v>-0.79999999999999982</v>
      </c>
      <c r="T37" s="4">
        <f t="shared" si="1"/>
        <v>-0.8999999999999998</v>
      </c>
      <c r="U37" s="4">
        <f t="shared" si="1"/>
        <v>-0.99999999999999978</v>
      </c>
      <c r="V37" s="4">
        <f t="shared" si="1"/>
        <v>-1.0999999999999999</v>
      </c>
      <c r="W37" s="4">
        <f t="shared" si="1"/>
        <v>-1.2</v>
      </c>
      <c r="X37" s="4">
        <f t="shared" si="1"/>
        <v>-1.3</v>
      </c>
      <c r="Y37" s="4">
        <f t="shared" si="1"/>
        <v>-1.4000000000000001</v>
      </c>
      <c r="Z37" s="4">
        <f t="shared" si="1"/>
        <v>-1.5000000000000002</v>
      </c>
      <c r="AA37" s="4">
        <f t="shared" si="1"/>
        <v>-1.6000000000000003</v>
      </c>
      <c r="AB37" s="4">
        <f t="shared" si="1"/>
        <v>-1.7000000000000004</v>
      </c>
      <c r="AC37" s="4">
        <f t="shared" si="1"/>
        <v>-1.8000000000000005</v>
      </c>
      <c r="AD37" s="4">
        <f t="shared" si="1"/>
        <v>-1.9000000000000006</v>
      </c>
      <c r="AE37" s="4">
        <f t="shared" si="1"/>
        <v>-2.0000000000000004</v>
      </c>
      <c r="AF37" s="4">
        <f t="shared" si="1"/>
        <v>-2.1000000000000005</v>
      </c>
      <c r="AG37" s="4">
        <f t="shared" si="1"/>
        <v>-2.2000000000000006</v>
      </c>
      <c r="AH37" s="4">
        <f t="shared" si="1"/>
        <v>-2.3000000000000007</v>
      </c>
      <c r="AI37" s="4">
        <f t="shared" si="1"/>
        <v>-2.4000000000000008</v>
      </c>
      <c r="AJ37" s="4">
        <f t="shared" si="1"/>
        <v>-2.5000000000000009</v>
      </c>
      <c r="AK37" s="4">
        <f t="shared" si="1"/>
        <v>-2.600000000000001</v>
      </c>
    </row>
    <row r="38" spans="3:37" outlineLevel="1" x14ac:dyDescent="0.25">
      <c r="C38" s="38">
        <v>0.9</v>
      </c>
      <c r="D38" s="4">
        <f t="shared" si="1"/>
        <v>0.8</v>
      </c>
      <c r="E38" s="4">
        <f t="shared" si="1"/>
        <v>0.70000000000000007</v>
      </c>
      <c r="F38" s="4">
        <f t="shared" si="1"/>
        <v>0.60000000000000009</v>
      </c>
      <c r="G38" s="4">
        <f t="shared" si="1"/>
        <v>0.50000000000000011</v>
      </c>
      <c r="H38" s="4">
        <f t="shared" si="1"/>
        <v>0.40000000000000013</v>
      </c>
      <c r="I38" s="4">
        <f t="shared" si="1"/>
        <v>0.30000000000000016</v>
      </c>
      <c r="J38" s="4">
        <f t="shared" si="1"/>
        <v>0.20000000000000015</v>
      </c>
      <c r="K38" s="4">
        <f t="shared" si="1"/>
        <v>0.10000000000000014</v>
      </c>
      <c r="L38" s="4">
        <f t="shared" si="1"/>
        <v>1.3877787807814457E-16</v>
      </c>
      <c r="M38" s="4">
        <f t="shared" si="1"/>
        <v>-9.9999999999999867E-2</v>
      </c>
      <c r="N38" s="4">
        <f t="shared" si="1"/>
        <v>-0.19999999999999987</v>
      </c>
      <c r="O38" s="4">
        <f t="shared" si="1"/>
        <v>-0.29999999999999988</v>
      </c>
      <c r="P38" s="4">
        <f t="shared" si="1"/>
        <v>-0.39999999999999991</v>
      </c>
      <c r="Q38" s="4">
        <f t="shared" si="1"/>
        <v>-0.49999999999999989</v>
      </c>
      <c r="R38" s="4">
        <f t="shared" si="1"/>
        <v>-0.59999999999999987</v>
      </c>
      <c r="S38" s="4">
        <f t="shared" si="1"/>
        <v>-0.69999999999999984</v>
      </c>
      <c r="T38" s="4">
        <f t="shared" si="1"/>
        <v>-0.79999999999999982</v>
      </c>
      <c r="U38" s="4">
        <f t="shared" si="1"/>
        <v>-0.8999999999999998</v>
      </c>
      <c r="V38" s="4">
        <f t="shared" si="1"/>
        <v>-0.99999999999999978</v>
      </c>
      <c r="W38" s="4">
        <f t="shared" si="1"/>
        <v>-1.0999999999999999</v>
      </c>
      <c r="X38" s="4">
        <f t="shared" si="1"/>
        <v>-1.2</v>
      </c>
      <c r="Y38" s="4">
        <f t="shared" si="1"/>
        <v>-1.3</v>
      </c>
      <c r="Z38" s="4">
        <f t="shared" si="1"/>
        <v>-1.4000000000000001</v>
      </c>
      <c r="AA38" s="4">
        <f t="shared" si="1"/>
        <v>-1.5000000000000002</v>
      </c>
      <c r="AB38" s="4">
        <f t="shared" si="1"/>
        <v>-1.6000000000000003</v>
      </c>
      <c r="AC38" s="4">
        <f t="shared" si="1"/>
        <v>-1.7000000000000004</v>
      </c>
      <c r="AD38" s="4">
        <f t="shared" si="1"/>
        <v>-1.8000000000000005</v>
      </c>
      <c r="AE38" s="4">
        <f t="shared" si="1"/>
        <v>-1.9000000000000006</v>
      </c>
      <c r="AF38" s="4">
        <f t="shared" si="1"/>
        <v>-2.0000000000000004</v>
      </c>
      <c r="AG38" s="4">
        <f t="shared" si="1"/>
        <v>-2.1000000000000005</v>
      </c>
      <c r="AH38" s="4">
        <f t="shared" si="1"/>
        <v>-2.2000000000000006</v>
      </c>
      <c r="AI38" s="4">
        <f t="shared" si="1"/>
        <v>-2.3000000000000007</v>
      </c>
      <c r="AJ38" s="4">
        <f t="shared" si="1"/>
        <v>-2.4000000000000008</v>
      </c>
      <c r="AK38" s="4">
        <f t="shared" si="1"/>
        <v>-2.5000000000000009</v>
      </c>
    </row>
    <row r="39" spans="3:37" outlineLevel="1" x14ac:dyDescent="0.25">
      <c r="C39" s="38">
        <v>1</v>
      </c>
      <c r="D39" s="4">
        <f t="shared" si="1"/>
        <v>0.9</v>
      </c>
      <c r="E39" s="4">
        <f t="shared" si="1"/>
        <v>0.8</v>
      </c>
      <c r="F39" s="4">
        <f t="shared" si="1"/>
        <v>0.70000000000000007</v>
      </c>
      <c r="G39" s="4">
        <f t="shared" si="1"/>
        <v>0.60000000000000009</v>
      </c>
      <c r="H39" s="4">
        <f t="shared" si="1"/>
        <v>0.50000000000000011</v>
      </c>
      <c r="I39" s="4">
        <f t="shared" si="1"/>
        <v>0.40000000000000013</v>
      </c>
      <c r="J39" s="4">
        <f t="shared" si="1"/>
        <v>0.30000000000000016</v>
      </c>
      <c r="K39" s="4">
        <f t="shared" si="1"/>
        <v>0.20000000000000015</v>
      </c>
      <c r="L39" s="4">
        <f t="shared" si="1"/>
        <v>0.10000000000000014</v>
      </c>
      <c r="M39" s="4">
        <f t="shared" si="1"/>
        <v>1.3877787807814457E-16</v>
      </c>
      <c r="N39" s="4">
        <f t="shared" si="1"/>
        <v>-9.9999999999999867E-2</v>
      </c>
      <c r="O39" s="4">
        <f t="shared" si="1"/>
        <v>-0.19999999999999987</v>
      </c>
      <c r="P39" s="4">
        <f t="shared" si="1"/>
        <v>-0.29999999999999988</v>
      </c>
      <c r="Q39" s="4">
        <f t="shared" si="1"/>
        <v>-0.39999999999999991</v>
      </c>
      <c r="R39" s="4">
        <f t="shared" si="1"/>
        <v>-0.49999999999999989</v>
      </c>
      <c r="S39" s="4">
        <f t="shared" si="1"/>
        <v>-0.59999999999999987</v>
      </c>
      <c r="T39" s="4">
        <f t="shared" si="1"/>
        <v>-0.69999999999999984</v>
      </c>
      <c r="U39" s="4">
        <f t="shared" si="1"/>
        <v>-0.79999999999999982</v>
      </c>
      <c r="V39" s="4">
        <f t="shared" si="1"/>
        <v>-0.8999999999999998</v>
      </c>
      <c r="W39" s="4">
        <f t="shared" si="1"/>
        <v>-0.99999999999999978</v>
      </c>
      <c r="X39" s="4">
        <f t="shared" si="1"/>
        <v>-1.0999999999999999</v>
      </c>
      <c r="Y39" s="4">
        <f t="shared" si="1"/>
        <v>-1.2</v>
      </c>
      <c r="Z39" s="4">
        <f t="shared" si="1"/>
        <v>-1.3</v>
      </c>
      <c r="AA39" s="4">
        <f t="shared" si="1"/>
        <v>-1.4000000000000001</v>
      </c>
      <c r="AB39" s="4">
        <f t="shared" si="1"/>
        <v>-1.5000000000000002</v>
      </c>
      <c r="AC39" s="4">
        <f t="shared" si="1"/>
        <v>-1.6000000000000003</v>
      </c>
      <c r="AD39" s="4">
        <f t="shared" si="1"/>
        <v>-1.7000000000000004</v>
      </c>
      <c r="AE39" s="4">
        <f t="shared" si="1"/>
        <v>-1.8000000000000005</v>
      </c>
      <c r="AF39" s="4">
        <f t="shared" si="1"/>
        <v>-1.9000000000000006</v>
      </c>
      <c r="AG39" s="4">
        <f t="shared" si="1"/>
        <v>-2.0000000000000004</v>
      </c>
      <c r="AH39" s="4">
        <f t="shared" si="1"/>
        <v>-2.1000000000000005</v>
      </c>
      <c r="AI39" s="4">
        <f t="shared" si="1"/>
        <v>-2.2000000000000006</v>
      </c>
      <c r="AJ39" s="4">
        <f t="shared" si="1"/>
        <v>-2.3000000000000007</v>
      </c>
      <c r="AK39" s="4">
        <f t="shared" si="1"/>
        <v>-2.4000000000000008</v>
      </c>
    </row>
    <row r="40" spans="3:37" outlineLevel="1" x14ac:dyDescent="0.25">
      <c r="C40" s="38">
        <v>1.1000000000000001</v>
      </c>
      <c r="D40" s="4">
        <f t="shared" si="1"/>
        <v>1</v>
      </c>
      <c r="E40" s="4">
        <f t="shared" si="1"/>
        <v>0.9</v>
      </c>
      <c r="F40" s="4">
        <f t="shared" si="1"/>
        <v>0.8</v>
      </c>
      <c r="G40" s="4">
        <f t="shared" si="1"/>
        <v>0.70000000000000007</v>
      </c>
      <c r="H40" s="4">
        <f t="shared" si="1"/>
        <v>0.60000000000000009</v>
      </c>
      <c r="I40" s="4">
        <f t="shared" si="1"/>
        <v>0.50000000000000011</v>
      </c>
      <c r="J40" s="4">
        <f t="shared" si="1"/>
        <v>0.40000000000000013</v>
      </c>
      <c r="K40" s="4">
        <f t="shared" si="1"/>
        <v>0.30000000000000016</v>
      </c>
      <c r="L40" s="4">
        <f t="shared" si="1"/>
        <v>0.20000000000000015</v>
      </c>
      <c r="M40" s="4">
        <f t="shared" si="1"/>
        <v>0.10000000000000014</v>
      </c>
      <c r="N40" s="4">
        <f t="shared" si="1"/>
        <v>1.3877787807814457E-16</v>
      </c>
      <c r="O40" s="4">
        <f t="shared" si="1"/>
        <v>-9.9999999999999867E-2</v>
      </c>
      <c r="P40" s="4">
        <f t="shared" si="1"/>
        <v>-0.19999999999999987</v>
      </c>
      <c r="Q40" s="4">
        <f t="shared" si="1"/>
        <v>-0.29999999999999988</v>
      </c>
      <c r="R40" s="4">
        <f t="shared" si="1"/>
        <v>-0.39999999999999991</v>
      </c>
      <c r="S40" s="4">
        <f t="shared" si="1"/>
        <v>-0.49999999999999989</v>
      </c>
      <c r="T40" s="4">
        <f t="shared" si="1"/>
        <v>-0.59999999999999987</v>
      </c>
      <c r="U40" s="4">
        <f t="shared" ref="U40:AK40" si="2">(IF(T40&lt;=4.4,T40-$E$6,IF(AND(T40&gt;=4.5,T40&lt;=11.4),T40-$E$7,IF(AND(T40&gt;=11.5,T40&lt;=18.4),T40-$E$8,IF(AND(T40&gt;=18.5,T40&lt;=26.4),T40-$E$9,IF(AND(T40&gt;=26.4,T40&lt;=36),T40-$E$10,IF(T40&gt;=37,T40-$E$11)))))))</f>
        <v>-0.69999999999999984</v>
      </c>
      <c r="V40" s="4">
        <f t="shared" si="2"/>
        <v>-0.79999999999999982</v>
      </c>
      <c r="W40" s="4">
        <f t="shared" si="2"/>
        <v>-0.8999999999999998</v>
      </c>
      <c r="X40" s="4">
        <f t="shared" si="2"/>
        <v>-0.99999999999999978</v>
      </c>
      <c r="Y40" s="4">
        <f t="shared" si="2"/>
        <v>-1.0999999999999999</v>
      </c>
      <c r="Z40" s="4">
        <f t="shared" si="2"/>
        <v>-1.2</v>
      </c>
      <c r="AA40" s="4">
        <f t="shared" si="2"/>
        <v>-1.3</v>
      </c>
      <c r="AB40" s="4">
        <f t="shared" si="2"/>
        <v>-1.4000000000000001</v>
      </c>
      <c r="AC40" s="4">
        <f t="shared" si="2"/>
        <v>-1.5000000000000002</v>
      </c>
      <c r="AD40" s="4">
        <f t="shared" si="2"/>
        <v>-1.6000000000000003</v>
      </c>
      <c r="AE40" s="4">
        <f t="shared" si="2"/>
        <v>-1.7000000000000004</v>
      </c>
      <c r="AF40" s="4">
        <f t="shared" si="2"/>
        <v>-1.8000000000000005</v>
      </c>
      <c r="AG40" s="4">
        <f t="shared" si="2"/>
        <v>-1.9000000000000006</v>
      </c>
      <c r="AH40" s="4">
        <f t="shared" si="2"/>
        <v>-2.0000000000000004</v>
      </c>
      <c r="AI40" s="4">
        <f t="shared" si="2"/>
        <v>-2.1000000000000005</v>
      </c>
      <c r="AJ40" s="4">
        <f t="shared" si="2"/>
        <v>-2.2000000000000006</v>
      </c>
      <c r="AK40" s="4">
        <f t="shared" si="2"/>
        <v>-2.3000000000000007</v>
      </c>
    </row>
    <row r="41" spans="3:37" outlineLevel="1" x14ac:dyDescent="0.25">
      <c r="C41" s="38">
        <v>1.2</v>
      </c>
      <c r="D41" s="4">
        <f t="shared" ref="D41:AK48" si="3">(IF(C41&lt;=4.4,C41-$E$6,IF(AND(C41&gt;=4.5,C41&lt;=11.4),C41-$E$7,IF(AND(C41&gt;=11.5,C41&lt;=18.4),C41-$E$8,IF(AND(C41&gt;=18.5,C41&lt;=26.4),C41-$E$9,IF(AND(C41&gt;=26.4,C41&lt;=36),C41-$E$10,IF(C41&gt;=37,C41-$E$11)))))))</f>
        <v>1.0999999999999999</v>
      </c>
      <c r="E41" s="4">
        <f t="shared" si="3"/>
        <v>0.99999999999999989</v>
      </c>
      <c r="F41" s="4">
        <f t="shared" si="3"/>
        <v>0.89999999999999991</v>
      </c>
      <c r="G41" s="4">
        <f t="shared" si="3"/>
        <v>0.79999999999999993</v>
      </c>
      <c r="H41" s="4">
        <f t="shared" si="3"/>
        <v>0.7</v>
      </c>
      <c r="I41" s="4">
        <f t="shared" si="3"/>
        <v>0.6</v>
      </c>
      <c r="J41" s="4">
        <f t="shared" si="3"/>
        <v>0.5</v>
      </c>
      <c r="K41" s="4">
        <f t="shared" si="3"/>
        <v>0.4</v>
      </c>
      <c r="L41" s="4">
        <f t="shared" si="3"/>
        <v>0.30000000000000004</v>
      </c>
      <c r="M41" s="4">
        <f t="shared" si="3"/>
        <v>0.20000000000000004</v>
      </c>
      <c r="N41" s="4">
        <f t="shared" si="3"/>
        <v>0.10000000000000003</v>
      </c>
      <c r="O41" s="4">
        <f t="shared" si="3"/>
        <v>2.7755575615628914E-17</v>
      </c>
      <c r="P41" s="4">
        <f t="shared" si="3"/>
        <v>-9.9999999999999978E-2</v>
      </c>
      <c r="Q41" s="4">
        <f t="shared" si="3"/>
        <v>-0.19999999999999998</v>
      </c>
      <c r="R41" s="4">
        <f t="shared" si="3"/>
        <v>-0.3</v>
      </c>
      <c r="S41" s="4">
        <f t="shared" si="3"/>
        <v>-0.4</v>
      </c>
      <c r="T41" s="4">
        <f t="shared" si="3"/>
        <v>-0.5</v>
      </c>
      <c r="U41" s="4">
        <f t="shared" si="3"/>
        <v>-0.6</v>
      </c>
      <c r="V41" s="4">
        <f t="shared" si="3"/>
        <v>-0.7</v>
      </c>
      <c r="W41" s="4">
        <f t="shared" si="3"/>
        <v>-0.79999999999999993</v>
      </c>
      <c r="X41" s="4">
        <f t="shared" si="3"/>
        <v>-0.89999999999999991</v>
      </c>
      <c r="Y41" s="4">
        <f t="shared" si="3"/>
        <v>-0.99999999999999989</v>
      </c>
      <c r="Z41" s="4">
        <f t="shared" si="3"/>
        <v>-1.0999999999999999</v>
      </c>
      <c r="AA41" s="4">
        <f t="shared" si="3"/>
        <v>-1.2</v>
      </c>
      <c r="AB41" s="4">
        <f t="shared" si="3"/>
        <v>-1.3</v>
      </c>
      <c r="AC41" s="4">
        <f t="shared" si="3"/>
        <v>-1.4000000000000001</v>
      </c>
      <c r="AD41" s="4">
        <f t="shared" si="3"/>
        <v>-1.5000000000000002</v>
      </c>
      <c r="AE41" s="4">
        <f t="shared" si="3"/>
        <v>-1.6000000000000003</v>
      </c>
      <c r="AF41" s="4">
        <f t="shared" si="3"/>
        <v>-1.7000000000000004</v>
      </c>
      <c r="AG41" s="4">
        <f t="shared" si="3"/>
        <v>-1.8000000000000005</v>
      </c>
      <c r="AH41" s="4">
        <f t="shared" si="3"/>
        <v>-1.9000000000000006</v>
      </c>
      <c r="AI41" s="4">
        <f t="shared" si="3"/>
        <v>-2.0000000000000004</v>
      </c>
      <c r="AJ41" s="4">
        <f t="shared" si="3"/>
        <v>-2.1000000000000005</v>
      </c>
      <c r="AK41" s="4">
        <f t="shared" si="3"/>
        <v>-2.2000000000000006</v>
      </c>
    </row>
    <row r="42" spans="3:37" outlineLevel="1" x14ac:dyDescent="0.25">
      <c r="C42" s="38">
        <v>1.3</v>
      </c>
      <c r="D42" s="4">
        <f t="shared" si="3"/>
        <v>1.2</v>
      </c>
      <c r="E42" s="4">
        <f t="shared" si="3"/>
        <v>1.0999999999999999</v>
      </c>
      <c r="F42" s="4">
        <f t="shared" si="3"/>
        <v>0.99999999999999989</v>
      </c>
      <c r="G42" s="4">
        <f t="shared" si="3"/>
        <v>0.89999999999999991</v>
      </c>
      <c r="H42" s="4">
        <f t="shared" si="3"/>
        <v>0.79999999999999993</v>
      </c>
      <c r="I42" s="4">
        <f t="shared" si="3"/>
        <v>0.7</v>
      </c>
      <c r="J42" s="4">
        <f t="shared" si="3"/>
        <v>0.6</v>
      </c>
      <c r="K42" s="4">
        <f t="shared" si="3"/>
        <v>0.5</v>
      </c>
      <c r="L42" s="4">
        <f t="shared" si="3"/>
        <v>0.4</v>
      </c>
      <c r="M42" s="4">
        <f t="shared" si="3"/>
        <v>0.30000000000000004</v>
      </c>
      <c r="N42" s="4">
        <f t="shared" si="3"/>
        <v>0.20000000000000004</v>
      </c>
      <c r="O42" s="4">
        <f t="shared" si="3"/>
        <v>0.10000000000000003</v>
      </c>
      <c r="P42" s="4">
        <f t="shared" si="3"/>
        <v>2.7755575615628914E-17</v>
      </c>
      <c r="Q42" s="4">
        <f t="shared" si="3"/>
        <v>-9.9999999999999978E-2</v>
      </c>
      <c r="R42" s="4">
        <f t="shared" si="3"/>
        <v>-0.19999999999999998</v>
      </c>
      <c r="S42" s="4">
        <f t="shared" si="3"/>
        <v>-0.3</v>
      </c>
      <c r="T42" s="4">
        <f t="shared" si="3"/>
        <v>-0.4</v>
      </c>
      <c r="U42" s="4">
        <f t="shared" si="3"/>
        <v>-0.5</v>
      </c>
      <c r="V42" s="4">
        <f t="shared" si="3"/>
        <v>-0.6</v>
      </c>
      <c r="W42" s="4">
        <f t="shared" si="3"/>
        <v>-0.7</v>
      </c>
      <c r="X42" s="4">
        <f t="shared" si="3"/>
        <v>-0.79999999999999993</v>
      </c>
      <c r="Y42" s="4">
        <f t="shared" si="3"/>
        <v>-0.89999999999999991</v>
      </c>
      <c r="Z42" s="4">
        <f t="shared" si="3"/>
        <v>-0.99999999999999989</v>
      </c>
      <c r="AA42" s="4">
        <f t="shared" si="3"/>
        <v>-1.0999999999999999</v>
      </c>
      <c r="AB42" s="4">
        <f t="shared" si="3"/>
        <v>-1.2</v>
      </c>
      <c r="AC42" s="4">
        <f t="shared" si="3"/>
        <v>-1.3</v>
      </c>
      <c r="AD42" s="4">
        <f t="shared" si="3"/>
        <v>-1.4000000000000001</v>
      </c>
      <c r="AE42" s="4">
        <f t="shared" si="3"/>
        <v>-1.5000000000000002</v>
      </c>
      <c r="AF42" s="4">
        <f t="shared" si="3"/>
        <v>-1.6000000000000003</v>
      </c>
      <c r="AG42" s="4">
        <f t="shared" si="3"/>
        <v>-1.7000000000000004</v>
      </c>
      <c r="AH42" s="4">
        <f t="shared" si="3"/>
        <v>-1.8000000000000005</v>
      </c>
      <c r="AI42" s="4">
        <f t="shared" si="3"/>
        <v>-1.9000000000000006</v>
      </c>
      <c r="AJ42" s="4">
        <f t="shared" si="3"/>
        <v>-2.0000000000000004</v>
      </c>
      <c r="AK42" s="4">
        <f t="shared" si="3"/>
        <v>-2.1000000000000005</v>
      </c>
    </row>
    <row r="43" spans="3:37" outlineLevel="1" x14ac:dyDescent="0.25">
      <c r="C43" s="38">
        <v>1.4</v>
      </c>
      <c r="D43" s="4">
        <f t="shared" si="3"/>
        <v>1.2999999999999998</v>
      </c>
      <c r="E43" s="4">
        <f t="shared" si="3"/>
        <v>1.1999999999999997</v>
      </c>
      <c r="F43" s="4">
        <f t="shared" si="3"/>
        <v>1.0999999999999996</v>
      </c>
      <c r="G43" s="4">
        <f t="shared" si="3"/>
        <v>0.99999999999999967</v>
      </c>
      <c r="H43" s="4">
        <f t="shared" si="3"/>
        <v>0.89999999999999969</v>
      </c>
      <c r="I43" s="4">
        <f t="shared" si="3"/>
        <v>0.79999999999999971</v>
      </c>
      <c r="J43" s="4">
        <f t="shared" si="3"/>
        <v>0.69999999999999973</v>
      </c>
      <c r="K43" s="4">
        <f t="shared" si="3"/>
        <v>0.59999999999999976</v>
      </c>
      <c r="L43" s="4">
        <f t="shared" si="3"/>
        <v>0.49999999999999978</v>
      </c>
      <c r="M43" s="4">
        <f t="shared" si="3"/>
        <v>0.3999999999999998</v>
      </c>
      <c r="N43" s="4">
        <f t="shared" si="3"/>
        <v>0.29999999999999982</v>
      </c>
      <c r="O43" s="4">
        <f t="shared" si="3"/>
        <v>0.19999999999999982</v>
      </c>
      <c r="P43" s="4">
        <f t="shared" si="3"/>
        <v>9.9999999999999811E-2</v>
      </c>
      <c r="Q43" s="4">
        <f t="shared" si="3"/>
        <v>-1.9428902930940239E-16</v>
      </c>
      <c r="R43" s="4">
        <f t="shared" si="3"/>
        <v>-0.1000000000000002</v>
      </c>
      <c r="S43" s="4">
        <f t="shared" si="3"/>
        <v>-0.20000000000000021</v>
      </c>
      <c r="T43" s="4">
        <f t="shared" si="3"/>
        <v>-0.30000000000000021</v>
      </c>
      <c r="U43" s="4">
        <f t="shared" si="3"/>
        <v>-0.40000000000000024</v>
      </c>
      <c r="V43" s="4">
        <f t="shared" si="3"/>
        <v>-0.50000000000000022</v>
      </c>
      <c r="W43" s="4">
        <f t="shared" si="3"/>
        <v>-0.6000000000000002</v>
      </c>
      <c r="X43" s="4">
        <f t="shared" si="3"/>
        <v>-0.70000000000000018</v>
      </c>
      <c r="Y43" s="4">
        <f t="shared" si="3"/>
        <v>-0.80000000000000016</v>
      </c>
      <c r="Z43" s="4">
        <f t="shared" si="3"/>
        <v>-0.90000000000000013</v>
      </c>
      <c r="AA43" s="4">
        <f t="shared" si="3"/>
        <v>-1.0000000000000002</v>
      </c>
      <c r="AB43" s="4">
        <f t="shared" si="3"/>
        <v>-1.1000000000000003</v>
      </c>
      <c r="AC43" s="4">
        <f t="shared" si="3"/>
        <v>-1.2000000000000004</v>
      </c>
      <c r="AD43" s="4">
        <f t="shared" si="3"/>
        <v>-1.3000000000000005</v>
      </c>
      <c r="AE43" s="4">
        <f t="shared" si="3"/>
        <v>-1.4000000000000006</v>
      </c>
      <c r="AF43" s="4">
        <f t="shared" si="3"/>
        <v>-1.5000000000000007</v>
      </c>
      <c r="AG43" s="4">
        <f t="shared" si="3"/>
        <v>-1.6000000000000008</v>
      </c>
      <c r="AH43" s="4">
        <f t="shared" si="3"/>
        <v>-1.7000000000000008</v>
      </c>
      <c r="AI43" s="4">
        <f t="shared" si="3"/>
        <v>-1.8000000000000009</v>
      </c>
      <c r="AJ43" s="4">
        <f t="shared" si="3"/>
        <v>-1.900000000000001</v>
      </c>
      <c r="AK43" s="4">
        <f t="shared" si="3"/>
        <v>-2.0000000000000009</v>
      </c>
    </row>
    <row r="44" spans="3:37" outlineLevel="1" x14ac:dyDescent="0.25">
      <c r="C44" s="38">
        <v>1.5</v>
      </c>
      <c r="D44" s="4">
        <f t="shared" si="3"/>
        <v>1.4</v>
      </c>
      <c r="E44" s="4">
        <f t="shared" si="3"/>
        <v>1.2999999999999998</v>
      </c>
      <c r="F44" s="4">
        <f t="shared" si="3"/>
        <v>1.1999999999999997</v>
      </c>
      <c r="G44" s="4">
        <f t="shared" si="3"/>
        <v>1.0999999999999996</v>
      </c>
      <c r="H44" s="4">
        <f t="shared" si="3"/>
        <v>0.99999999999999967</v>
      </c>
      <c r="I44" s="4">
        <f t="shared" si="3"/>
        <v>0.89999999999999969</v>
      </c>
      <c r="J44" s="4">
        <f t="shared" si="3"/>
        <v>0.79999999999999971</v>
      </c>
      <c r="K44" s="4">
        <f t="shared" si="3"/>
        <v>0.69999999999999973</v>
      </c>
      <c r="L44" s="4">
        <f t="shared" si="3"/>
        <v>0.59999999999999976</v>
      </c>
      <c r="M44" s="4">
        <f t="shared" si="3"/>
        <v>0.49999999999999978</v>
      </c>
      <c r="N44" s="4">
        <f t="shared" si="3"/>
        <v>0.3999999999999998</v>
      </c>
      <c r="O44" s="4">
        <f t="shared" si="3"/>
        <v>0.29999999999999982</v>
      </c>
      <c r="P44" s="4">
        <f t="shared" si="3"/>
        <v>0.19999999999999982</v>
      </c>
      <c r="Q44" s="4">
        <f t="shared" si="3"/>
        <v>9.9999999999999811E-2</v>
      </c>
      <c r="R44" s="4">
        <f t="shared" si="3"/>
        <v>-1.9428902930940239E-16</v>
      </c>
      <c r="S44" s="4">
        <f t="shared" si="3"/>
        <v>-0.1000000000000002</v>
      </c>
      <c r="T44" s="4">
        <f t="shared" si="3"/>
        <v>-0.20000000000000021</v>
      </c>
      <c r="U44" s="4">
        <f t="shared" si="3"/>
        <v>-0.30000000000000021</v>
      </c>
      <c r="V44" s="4">
        <f t="shared" si="3"/>
        <v>-0.40000000000000024</v>
      </c>
      <c r="W44" s="4">
        <f t="shared" si="3"/>
        <v>-0.50000000000000022</v>
      </c>
      <c r="X44" s="4">
        <f t="shared" si="3"/>
        <v>-0.6000000000000002</v>
      </c>
      <c r="Y44" s="4">
        <f t="shared" si="3"/>
        <v>-0.70000000000000018</v>
      </c>
      <c r="Z44" s="4">
        <f t="shared" si="3"/>
        <v>-0.80000000000000016</v>
      </c>
      <c r="AA44" s="4">
        <f t="shared" si="3"/>
        <v>-0.90000000000000013</v>
      </c>
      <c r="AB44" s="4">
        <f t="shared" si="3"/>
        <v>-1.0000000000000002</v>
      </c>
      <c r="AC44" s="4">
        <f t="shared" si="3"/>
        <v>-1.1000000000000003</v>
      </c>
      <c r="AD44" s="4">
        <f t="shared" si="3"/>
        <v>-1.2000000000000004</v>
      </c>
      <c r="AE44" s="4">
        <f t="shared" si="3"/>
        <v>-1.3000000000000005</v>
      </c>
      <c r="AF44" s="4">
        <f t="shared" si="3"/>
        <v>-1.4000000000000006</v>
      </c>
      <c r="AG44" s="4">
        <f t="shared" si="3"/>
        <v>-1.5000000000000007</v>
      </c>
      <c r="AH44" s="4">
        <f t="shared" si="3"/>
        <v>-1.6000000000000008</v>
      </c>
      <c r="AI44" s="4">
        <f t="shared" si="3"/>
        <v>-1.7000000000000008</v>
      </c>
      <c r="AJ44" s="4">
        <f t="shared" si="3"/>
        <v>-1.8000000000000009</v>
      </c>
      <c r="AK44" s="4">
        <f t="shared" si="3"/>
        <v>-1.900000000000001</v>
      </c>
    </row>
    <row r="45" spans="3:37" outlineLevel="1" x14ac:dyDescent="0.25">
      <c r="C45" s="38">
        <v>1.6</v>
      </c>
      <c r="D45" s="4">
        <f t="shared" si="3"/>
        <v>1.5</v>
      </c>
      <c r="E45" s="4">
        <f t="shared" si="3"/>
        <v>1.4</v>
      </c>
      <c r="F45" s="4">
        <f t="shared" si="3"/>
        <v>1.2999999999999998</v>
      </c>
      <c r="G45" s="4">
        <f t="shared" si="3"/>
        <v>1.1999999999999997</v>
      </c>
      <c r="H45" s="4">
        <f t="shared" si="3"/>
        <v>1.0999999999999996</v>
      </c>
      <c r="I45" s="4">
        <f t="shared" si="3"/>
        <v>0.99999999999999967</v>
      </c>
      <c r="J45" s="4">
        <f t="shared" si="3"/>
        <v>0.89999999999999969</v>
      </c>
      <c r="K45" s="4">
        <f t="shared" si="3"/>
        <v>0.79999999999999971</v>
      </c>
      <c r="L45" s="4">
        <f t="shared" si="3"/>
        <v>0.69999999999999973</v>
      </c>
      <c r="M45" s="4">
        <f t="shared" si="3"/>
        <v>0.59999999999999976</v>
      </c>
      <c r="N45" s="4">
        <f t="shared" si="3"/>
        <v>0.49999999999999978</v>
      </c>
      <c r="O45" s="4">
        <f t="shared" si="3"/>
        <v>0.3999999999999998</v>
      </c>
      <c r="P45" s="4">
        <f t="shared" si="3"/>
        <v>0.29999999999999982</v>
      </c>
      <c r="Q45" s="4">
        <f t="shared" si="3"/>
        <v>0.19999999999999982</v>
      </c>
      <c r="R45" s="4">
        <f t="shared" si="3"/>
        <v>9.9999999999999811E-2</v>
      </c>
      <c r="S45" s="4">
        <f t="shared" si="3"/>
        <v>-1.9428902930940239E-16</v>
      </c>
      <c r="T45" s="4">
        <f t="shared" si="3"/>
        <v>-0.1000000000000002</v>
      </c>
      <c r="U45" s="4">
        <f t="shared" si="3"/>
        <v>-0.20000000000000021</v>
      </c>
      <c r="V45" s="4">
        <f t="shared" si="3"/>
        <v>-0.30000000000000021</v>
      </c>
      <c r="W45" s="4">
        <f t="shared" si="3"/>
        <v>-0.40000000000000024</v>
      </c>
      <c r="X45" s="4">
        <f t="shared" si="3"/>
        <v>-0.50000000000000022</v>
      </c>
      <c r="Y45" s="4">
        <f t="shared" si="3"/>
        <v>-0.6000000000000002</v>
      </c>
      <c r="Z45" s="4">
        <f t="shared" si="3"/>
        <v>-0.70000000000000018</v>
      </c>
      <c r="AA45" s="4">
        <f t="shared" si="3"/>
        <v>-0.80000000000000016</v>
      </c>
      <c r="AB45" s="4">
        <f t="shared" si="3"/>
        <v>-0.90000000000000013</v>
      </c>
      <c r="AC45" s="4">
        <f t="shared" si="3"/>
        <v>-1.0000000000000002</v>
      </c>
      <c r="AD45" s="4">
        <f t="shared" si="3"/>
        <v>-1.1000000000000003</v>
      </c>
      <c r="AE45" s="4">
        <f t="shared" si="3"/>
        <v>-1.2000000000000004</v>
      </c>
      <c r="AF45" s="4">
        <f t="shared" si="3"/>
        <v>-1.3000000000000005</v>
      </c>
      <c r="AG45" s="4">
        <f t="shared" si="3"/>
        <v>-1.4000000000000006</v>
      </c>
      <c r="AH45" s="4">
        <f t="shared" si="3"/>
        <v>-1.5000000000000007</v>
      </c>
      <c r="AI45" s="4">
        <f t="shared" si="3"/>
        <v>-1.6000000000000008</v>
      </c>
      <c r="AJ45" s="4">
        <f t="shared" si="3"/>
        <v>-1.7000000000000008</v>
      </c>
      <c r="AK45" s="4">
        <f t="shared" si="3"/>
        <v>-1.8000000000000009</v>
      </c>
    </row>
    <row r="46" spans="3:37" outlineLevel="1" x14ac:dyDescent="0.25">
      <c r="C46" s="38">
        <v>1.7</v>
      </c>
      <c r="D46" s="4">
        <f t="shared" si="3"/>
        <v>1.5999999999999999</v>
      </c>
      <c r="E46" s="4">
        <f t="shared" si="3"/>
        <v>1.4999999999999998</v>
      </c>
      <c r="F46" s="4">
        <f t="shared" si="3"/>
        <v>1.3999999999999997</v>
      </c>
      <c r="G46" s="4">
        <f t="shared" si="3"/>
        <v>1.2999999999999996</v>
      </c>
      <c r="H46" s="4">
        <f t="shared" si="3"/>
        <v>1.1999999999999995</v>
      </c>
      <c r="I46" s="4">
        <f t="shared" si="3"/>
        <v>1.0999999999999994</v>
      </c>
      <c r="J46" s="4">
        <f t="shared" si="3"/>
        <v>0.99999999999999944</v>
      </c>
      <c r="K46" s="4">
        <f t="shared" si="3"/>
        <v>0.89999999999999947</v>
      </c>
      <c r="L46" s="4">
        <f t="shared" si="3"/>
        <v>0.79999999999999949</v>
      </c>
      <c r="M46" s="4">
        <f t="shared" si="3"/>
        <v>0.69999999999999951</v>
      </c>
      <c r="N46" s="4">
        <f t="shared" si="3"/>
        <v>0.59999999999999953</v>
      </c>
      <c r="O46" s="4">
        <f t="shared" si="3"/>
        <v>0.49999999999999956</v>
      </c>
      <c r="P46" s="4">
        <f t="shared" si="3"/>
        <v>0.39999999999999958</v>
      </c>
      <c r="Q46" s="4">
        <f t="shared" si="3"/>
        <v>0.2999999999999996</v>
      </c>
      <c r="R46" s="4">
        <f t="shared" si="3"/>
        <v>0.19999999999999959</v>
      </c>
      <c r="S46" s="4">
        <f t="shared" si="3"/>
        <v>9.9999999999999589E-2</v>
      </c>
      <c r="T46" s="4">
        <f t="shared" si="3"/>
        <v>-4.163336342344337E-16</v>
      </c>
      <c r="U46" s="4">
        <f t="shared" si="3"/>
        <v>-0.10000000000000042</v>
      </c>
      <c r="V46" s="4">
        <f t="shared" si="3"/>
        <v>-0.20000000000000043</v>
      </c>
      <c r="W46" s="4">
        <f t="shared" si="3"/>
        <v>-0.30000000000000043</v>
      </c>
      <c r="X46" s="4">
        <f t="shared" si="3"/>
        <v>-0.40000000000000047</v>
      </c>
      <c r="Y46" s="4">
        <f t="shared" si="3"/>
        <v>-0.50000000000000044</v>
      </c>
      <c r="Z46" s="4">
        <f t="shared" si="3"/>
        <v>-0.60000000000000042</v>
      </c>
      <c r="AA46" s="4">
        <f t="shared" si="3"/>
        <v>-0.7000000000000004</v>
      </c>
      <c r="AB46" s="4">
        <f t="shared" si="3"/>
        <v>-0.80000000000000038</v>
      </c>
      <c r="AC46" s="4">
        <f t="shared" si="3"/>
        <v>-0.90000000000000036</v>
      </c>
      <c r="AD46" s="4">
        <f t="shared" si="3"/>
        <v>-1.0000000000000004</v>
      </c>
      <c r="AE46" s="4">
        <f t="shared" si="3"/>
        <v>-1.1000000000000005</v>
      </c>
      <c r="AF46" s="4">
        <f t="shared" si="3"/>
        <v>-1.2000000000000006</v>
      </c>
      <c r="AG46" s="4">
        <f t="shared" si="3"/>
        <v>-1.3000000000000007</v>
      </c>
      <c r="AH46" s="4">
        <f t="shared" si="3"/>
        <v>-1.4000000000000008</v>
      </c>
      <c r="AI46" s="4">
        <f t="shared" si="3"/>
        <v>-1.5000000000000009</v>
      </c>
      <c r="AJ46" s="4">
        <f t="shared" si="3"/>
        <v>-1.600000000000001</v>
      </c>
      <c r="AK46" s="4">
        <f t="shared" si="3"/>
        <v>-1.7000000000000011</v>
      </c>
    </row>
    <row r="47" spans="3:37" outlineLevel="1" x14ac:dyDescent="0.25">
      <c r="C47" s="38">
        <v>1.8</v>
      </c>
      <c r="D47" s="4">
        <f t="shared" si="3"/>
        <v>1.7</v>
      </c>
      <c r="E47" s="4">
        <f t="shared" si="3"/>
        <v>1.5999999999999999</v>
      </c>
      <c r="F47" s="4">
        <f t="shared" si="3"/>
        <v>1.4999999999999998</v>
      </c>
      <c r="G47" s="4">
        <f t="shared" si="3"/>
        <v>1.3999999999999997</v>
      </c>
      <c r="H47" s="4">
        <f t="shared" si="3"/>
        <v>1.2999999999999996</v>
      </c>
      <c r="I47" s="4">
        <f t="shared" si="3"/>
        <v>1.1999999999999995</v>
      </c>
      <c r="J47" s="4">
        <f t="shared" si="3"/>
        <v>1.0999999999999994</v>
      </c>
      <c r="K47" s="4">
        <f t="shared" si="3"/>
        <v>0.99999999999999944</v>
      </c>
      <c r="L47" s="4">
        <f t="shared" si="3"/>
        <v>0.89999999999999947</v>
      </c>
      <c r="M47" s="4">
        <f t="shared" si="3"/>
        <v>0.79999999999999949</v>
      </c>
      <c r="N47" s="4">
        <f t="shared" si="3"/>
        <v>0.69999999999999951</v>
      </c>
      <c r="O47" s="4">
        <f t="shared" si="3"/>
        <v>0.59999999999999953</v>
      </c>
      <c r="P47" s="4">
        <f t="shared" si="3"/>
        <v>0.49999999999999956</v>
      </c>
      <c r="Q47" s="4">
        <f t="shared" si="3"/>
        <v>0.39999999999999958</v>
      </c>
      <c r="R47" s="4">
        <f t="shared" si="3"/>
        <v>0.2999999999999996</v>
      </c>
      <c r="S47" s="4">
        <f t="shared" si="3"/>
        <v>0.19999999999999959</v>
      </c>
      <c r="T47" s="4">
        <f t="shared" si="3"/>
        <v>9.9999999999999589E-2</v>
      </c>
      <c r="U47" s="4">
        <f t="shared" si="3"/>
        <v>-4.163336342344337E-16</v>
      </c>
      <c r="V47" s="4">
        <f t="shared" si="3"/>
        <v>-0.10000000000000042</v>
      </c>
      <c r="W47" s="4">
        <f t="shared" si="3"/>
        <v>-0.20000000000000043</v>
      </c>
      <c r="X47" s="4">
        <f t="shared" si="3"/>
        <v>-0.30000000000000043</v>
      </c>
      <c r="Y47" s="4">
        <f t="shared" si="3"/>
        <v>-0.40000000000000047</v>
      </c>
      <c r="Z47" s="4">
        <f t="shared" si="3"/>
        <v>-0.50000000000000044</v>
      </c>
      <c r="AA47" s="4">
        <f t="shared" si="3"/>
        <v>-0.60000000000000042</v>
      </c>
      <c r="AB47" s="4">
        <f t="shared" si="3"/>
        <v>-0.7000000000000004</v>
      </c>
      <c r="AC47" s="4">
        <f t="shared" si="3"/>
        <v>-0.80000000000000038</v>
      </c>
      <c r="AD47" s="4">
        <f t="shared" si="3"/>
        <v>-0.90000000000000036</v>
      </c>
      <c r="AE47" s="4">
        <f t="shared" si="3"/>
        <v>-1.0000000000000004</v>
      </c>
      <c r="AF47" s="4">
        <f t="shared" si="3"/>
        <v>-1.1000000000000005</v>
      </c>
      <c r="AG47" s="4">
        <f t="shared" si="3"/>
        <v>-1.2000000000000006</v>
      </c>
      <c r="AH47" s="4">
        <f t="shared" si="3"/>
        <v>-1.3000000000000007</v>
      </c>
      <c r="AI47" s="4">
        <f t="shared" si="3"/>
        <v>-1.4000000000000008</v>
      </c>
      <c r="AJ47" s="4">
        <f t="shared" si="3"/>
        <v>-1.5000000000000009</v>
      </c>
      <c r="AK47" s="4">
        <f t="shared" si="3"/>
        <v>-1.600000000000001</v>
      </c>
    </row>
    <row r="48" spans="3:37" outlineLevel="1" x14ac:dyDescent="0.25">
      <c r="C48" s="38">
        <v>1.9</v>
      </c>
      <c r="D48" s="4">
        <f t="shared" si="3"/>
        <v>1.7999999999999998</v>
      </c>
      <c r="E48" s="4">
        <f t="shared" si="3"/>
        <v>1.6999999999999997</v>
      </c>
      <c r="F48" s="4">
        <f t="shared" si="3"/>
        <v>1.5999999999999996</v>
      </c>
      <c r="G48" s="4">
        <f t="shared" si="3"/>
        <v>1.4999999999999996</v>
      </c>
      <c r="H48" s="4">
        <f t="shared" si="3"/>
        <v>1.3999999999999995</v>
      </c>
      <c r="I48" s="4">
        <f t="shared" si="3"/>
        <v>1.2999999999999994</v>
      </c>
      <c r="J48" s="4">
        <f t="shared" si="3"/>
        <v>1.1999999999999993</v>
      </c>
      <c r="K48" s="4">
        <f t="shared" si="3"/>
        <v>1.0999999999999992</v>
      </c>
      <c r="L48" s="4">
        <f t="shared" si="3"/>
        <v>0.99999999999999922</v>
      </c>
      <c r="M48" s="4">
        <f t="shared" si="3"/>
        <v>0.89999999999999925</v>
      </c>
      <c r="N48" s="4">
        <f t="shared" si="3"/>
        <v>0.79999999999999927</v>
      </c>
      <c r="O48" s="4">
        <f t="shared" si="3"/>
        <v>0.69999999999999929</v>
      </c>
      <c r="P48" s="4">
        <f t="shared" si="3"/>
        <v>0.59999999999999931</v>
      </c>
      <c r="Q48" s="4">
        <f t="shared" si="3"/>
        <v>0.49999999999999933</v>
      </c>
      <c r="R48" s="4">
        <f t="shared" si="3"/>
        <v>0.39999999999999936</v>
      </c>
      <c r="S48" s="4">
        <f t="shared" si="3"/>
        <v>0.29999999999999938</v>
      </c>
      <c r="T48" s="4">
        <f t="shared" si="3"/>
        <v>0.19999999999999937</v>
      </c>
      <c r="U48" s="4">
        <f t="shared" ref="U48:AK48" si="4">(IF(T48&lt;=4.4,T48-$E$6,IF(AND(T48&gt;=4.5,T48&lt;=11.4),T48-$E$7,IF(AND(T48&gt;=11.5,T48&lt;=18.4),T48-$E$8,IF(AND(T48&gt;=18.5,T48&lt;=26.4),T48-$E$9,IF(AND(T48&gt;=26.4,T48&lt;=36),T48-$E$10,IF(T48&gt;=37,T48-$E$11)))))))</f>
        <v>9.9999999999999367E-2</v>
      </c>
      <c r="V48" s="4">
        <f t="shared" si="4"/>
        <v>-6.3837823915946501E-16</v>
      </c>
      <c r="W48" s="4">
        <f t="shared" si="4"/>
        <v>-0.10000000000000064</v>
      </c>
      <c r="X48" s="4">
        <f t="shared" si="4"/>
        <v>-0.20000000000000065</v>
      </c>
      <c r="Y48" s="4">
        <f t="shared" si="4"/>
        <v>-0.30000000000000066</v>
      </c>
      <c r="Z48" s="4">
        <f t="shared" si="4"/>
        <v>-0.40000000000000069</v>
      </c>
      <c r="AA48" s="4">
        <f t="shared" si="4"/>
        <v>-0.50000000000000067</v>
      </c>
      <c r="AB48" s="4">
        <f t="shared" si="4"/>
        <v>-0.60000000000000064</v>
      </c>
      <c r="AC48" s="4">
        <f t="shared" si="4"/>
        <v>-0.70000000000000062</v>
      </c>
      <c r="AD48" s="4">
        <f t="shared" si="4"/>
        <v>-0.8000000000000006</v>
      </c>
      <c r="AE48" s="4">
        <f t="shared" si="4"/>
        <v>-0.90000000000000058</v>
      </c>
      <c r="AF48" s="4">
        <f t="shared" si="4"/>
        <v>-1.0000000000000007</v>
      </c>
      <c r="AG48" s="4">
        <f t="shared" si="4"/>
        <v>-1.1000000000000008</v>
      </c>
      <c r="AH48" s="4">
        <f t="shared" si="4"/>
        <v>-1.2000000000000008</v>
      </c>
      <c r="AI48" s="4">
        <f t="shared" si="4"/>
        <v>-1.3000000000000009</v>
      </c>
      <c r="AJ48" s="4">
        <f t="shared" si="4"/>
        <v>-1.400000000000001</v>
      </c>
      <c r="AK48" s="4">
        <f t="shared" si="4"/>
        <v>-1.5000000000000011</v>
      </c>
    </row>
    <row r="49" spans="3:37" outlineLevel="1" x14ac:dyDescent="0.25">
      <c r="C49" s="38">
        <v>2</v>
      </c>
      <c r="D49" s="4">
        <f t="shared" ref="D49:AK56" si="5">(IF(C49&lt;=4.4,C49-$E$6,IF(AND(C49&gt;=4.5,C49&lt;=11.4),C49-$E$7,IF(AND(C49&gt;=11.5,C49&lt;=18.4),C49-$E$8,IF(AND(C49&gt;=18.5,C49&lt;=26.4),C49-$E$9,IF(AND(C49&gt;=26.4,C49&lt;=36),C49-$E$10,IF(C49&gt;=37,C49-$E$11)))))))</f>
        <v>1.9</v>
      </c>
      <c r="E49" s="4">
        <f t="shared" si="5"/>
        <v>1.7999999999999998</v>
      </c>
      <c r="F49" s="4">
        <f t="shared" si="5"/>
        <v>1.6999999999999997</v>
      </c>
      <c r="G49" s="4">
        <f t="shared" si="5"/>
        <v>1.5999999999999996</v>
      </c>
      <c r="H49" s="4">
        <f t="shared" si="5"/>
        <v>1.4999999999999996</v>
      </c>
      <c r="I49" s="4">
        <f t="shared" si="5"/>
        <v>1.3999999999999995</v>
      </c>
      <c r="J49" s="4">
        <f t="shared" si="5"/>
        <v>1.2999999999999994</v>
      </c>
      <c r="K49" s="4">
        <f t="shared" si="5"/>
        <v>1.1999999999999993</v>
      </c>
      <c r="L49" s="4">
        <f t="shared" si="5"/>
        <v>1.0999999999999992</v>
      </c>
      <c r="M49" s="4">
        <f t="shared" si="5"/>
        <v>0.99999999999999922</v>
      </c>
      <c r="N49" s="4">
        <f t="shared" si="5"/>
        <v>0.89999999999999925</v>
      </c>
      <c r="O49" s="4">
        <f t="shared" si="5"/>
        <v>0.79999999999999927</v>
      </c>
      <c r="P49" s="4">
        <f t="shared" si="5"/>
        <v>0.69999999999999929</v>
      </c>
      <c r="Q49" s="4">
        <f t="shared" si="5"/>
        <v>0.59999999999999931</v>
      </c>
      <c r="R49" s="4">
        <f t="shared" si="5"/>
        <v>0.49999999999999933</v>
      </c>
      <c r="S49" s="4">
        <f t="shared" si="5"/>
        <v>0.39999999999999936</v>
      </c>
      <c r="T49" s="4">
        <f t="shared" si="5"/>
        <v>0.29999999999999938</v>
      </c>
      <c r="U49" s="4">
        <f t="shared" si="5"/>
        <v>0.19999999999999937</v>
      </c>
      <c r="V49" s="4">
        <f t="shared" si="5"/>
        <v>9.9999999999999367E-2</v>
      </c>
      <c r="W49" s="4">
        <f t="shared" si="5"/>
        <v>-6.3837823915946501E-16</v>
      </c>
      <c r="X49" s="4">
        <f t="shared" si="5"/>
        <v>-0.10000000000000064</v>
      </c>
      <c r="Y49" s="4">
        <f t="shared" si="5"/>
        <v>-0.20000000000000065</v>
      </c>
      <c r="Z49" s="4">
        <f t="shared" si="5"/>
        <v>-0.30000000000000066</v>
      </c>
      <c r="AA49" s="4">
        <f t="shared" si="5"/>
        <v>-0.40000000000000069</v>
      </c>
      <c r="AB49" s="4">
        <f t="shared" si="5"/>
        <v>-0.50000000000000067</v>
      </c>
      <c r="AC49" s="4">
        <f t="shared" si="5"/>
        <v>-0.60000000000000064</v>
      </c>
      <c r="AD49" s="4">
        <f t="shared" si="5"/>
        <v>-0.70000000000000062</v>
      </c>
      <c r="AE49" s="4">
        <f t="shared" si="5"/>
        <v>-0.8000000000000006</v>
      </c>
      <c r="AF49" s="4">
        <f t="shared" si="5"/>
        <v>-0.90000000000000058</v>
      </c>
      <c r="AG49" s="4">
        <f t="shared" si="5"/>
        <v>-1.0000000000000007</v>
      </c>
      <c r="AH49" s="4">
        <f t="shared" si="5"/>
        <v>-1.1000000000000008</v>
      </c>
      <c r="AI49" s="4">
        <f t="shared" si="5"/>
        <v>-1.2000000000000008</v>
      </c>
      <c r="AJ49" s="4">
        <f t="shared" si="5"/>
        <v>-1.3000000000000009</v>
      </c>
      <c r="AK49" s="4">
        <f t="shared" si="5"/>
        <v>-1.400000000000001</v>
      </c>
    </row>
    <row r="50" spans="3:37" outlineLevel="1" x14ac:dyDescent="0.25">
      <c r="C50" s="38">
        <v>2.1</v>
      </c>
      <c r="D50" s="4">
        <f t="shared" si="5"/>
        <v>2</v>
      </c>
      <c r="E50" s="4">
        <f t="shared" si="5"/>
        <v>1.9</v>
      </c>
      <c r="F50" s="4">
        <f t="shared" si="5"/>
        <v>1.7999999999999998</v>
      </c>
      <c r="G50" s="4">
        <f t="shared" si="5"/>
        <v>1.6999999999999997</v>
      </c>
      <c r="H50" s="4">
        <f t="shared" si="5"/>
        <v>1.5999999999999996</v>
      </c>
      <c r="I50" s="4">
        <f t="shared" si="5"/>
        <v>1.4999999999999996</v>
      </c>
      <c r="J50" s="4">
        <f t="shared" si="5"/>
        <v>1.3999999999999995</v>
      </c>
      <c r="K50" s="4">
        <f t="shared" si="5"/>
        <v>1.2999999999999994</v>
      </c>
      <c r="L50" s="4">
        <f t="shared" si="5"/>
        <v>1.1999999999999993</v>
      </c>
      <c r="M50" s="4">
        <f t="shared" si="5"/>
        <v>1.0999999999999992</v>
      </c>
      <c r="N50" s="4">
        <f t="shared" si="5"/>
        <v>0.99999999999999922</v>
      </c>
      <c r="O50" s="4">
        <f t="shared" si="5"/>
        <v>0.89999999999999925</v>
      </c>
      <c r="P50" s="4">
        <f t="shared" si="5"/>
        <v>0.79999999999999927</v>
      </c>
      <c r="Q50" s="4">
        <f t="shared" si="5"/>
        <v>0.69999999999999929</v>
      </c>
      <c r="R50" s="4">
        <f t="shared" si="5"/>
        <v>0.59999999999999931</v>
      </c>
      <c r="S50" s="4">
        <f t="shared" si="5"/>
        <v>0.49999999999999933</v>
      </c>
      <c r="T50" s="4">
        <f t="shared" si="5"/>
        <v>0.39999999999999936</v>
      </c>
      <c r="U50" s="4">
        <f t="shared" si="5"/>
        <v>0.29999999999999938</v>
      </c>
      <c r="V50" s="4">
        <f t="shared" si="5"/>
        <v>0.19999999999999937</v>
      </c>
      <c r="W50" s="4">
        <f t="shared" si="5"/>
        <v>9.9999999999999367E-2</v>
      </c>
      <c r="X50" s="4">
        <f t="shared" si="5"/>
        <v>-6.3837823915946501E-16</v>
      </c>
      <c r="Y50" s="4">
        <f t="shared" si="5"/>
        <v>-0.10000000000000064</v>
      </c>
      <c r="Z50" s="4">
        <f t="shared" si="5"/>
        <v>-0.20000000000000065</v>
      </c>
      <c r="AA50" s="4">
        <f t="shared" si="5"/>
        <v>-0.30000000000000066</v>
      </c>
      <c r="AB50" s="4">
        <f t="shared" si="5"/>
        <v>-0.40000000000000069</v>
      </c>
      <c r="AC50" s="4">
        <f t="shared" si="5"/>
        <v>-0.50000000000000067</v>
      </c>
      <c r="AD50" s="4">
        <f t="shared" si="5"/>
        <v>-0.60000000000000064</v>
      </c>
      <c r="AE50" s="4">
        <f t="shared" si="5"/>
        <v>-0.70000000000000062</v>
      </c>
      <c r="AF50" s="4">
        <f t="shared" si="5"/>
        <v>-0.8000000000000006</v>
      </c>
      <c r="AG50" s="4">
        <f t="shared" si="5"/>
        <v>-0.90000000000000058</v>
      </c>
      <c r="AH50" s="4">
        <f t="shared" si="5"/>
        <v>-1.0000000000000007</v>
      </c>
      <c r="AI50" s="4">
        <f t="shared" si="5"/>
        <v>-1.1000000000000008</v>
      </c>
      <c r="AJ50" s="4">
        <f t="shared" si="5"/>
        <v>-1.2000000000000008</v>
      </c>
      <c r="AK50" s="4">
        <f t="shared" si="5"/>
        <v>-1.3000000000000009</v>
      </c>
    </row>
    <row r="51" spans="3:37" outlineLevel="1" x14ac:dyDescent="0.25">
      <c r="C51" s="38">
        <v>2.2000000000000002</v>
      </c>
      <c r="D51" s="4">
        <f t="shared" si="5"/>
        <v>2.1</v>
      </c>
      <c r="E51" s="4">
        <f t="shared" si="5"/>
        <v>2</v>
      </c>
      <c r="F51" s="4">
        <f t="shared" si="5"/>
        <v>1.9</v>
      </c>
      <c r="G51" s="4">
        <f t="shared" si="5"/>
        <v>1.7999999999999998</v>
      </c>
      <c r="H51" s="4">
        <f t="shared" si="5"/>
        <v>1.6999999999999997</v>
      </c>
      <c r="I51" s="4">
        <f t="shared" si="5"/>
        <v>1.5999999999999996</v>
      </c>
      <c r="J51" s="4">
        <f t="shared" si="5"/>
        <v>1.4999999999999996</v>
      </c>
      <c r="K51" s="4">
        <f t="shared" si="5"/>
        <v>1.3999999999999995</v>
      </c>
      <c r="L51" s="4">
        <f t="shared" si="5"/>
        <v>1.2999999999999994</v>
      </c>
      <c r="M51" s="4">
        <f t="shared" si="5"/>
        <v>1.1999999999999993</v>
      </c>
      <c r="N51" s="4">
        <f t="shared" si="5"/>
        <v>1.0999999999999992</v>
      </c>
      <c r="O51" s="4">
        <f t="shared" si="5"/>
        <v>0.99999999999999922</v>
      </c>
      <c r="P51" s="4">
        <f t="shared" si="5"/>
        <v>0.89999999999999925</v>
      </c>
      <c r="Q51" s="4">
        <f t="shared" si="5"/>
        <v>0.79999999999999927</v>
      </c>
      <c r="R51" s="4">
        <f t="shared" si="5"/>
        <v>0.69999999999999929</v>
      </c>
      <c r="S51" s="4">
        <f t="shared" si="5"/>
        <v>0.59999999999999931</v>
      </c>
      <c r="T51" s="4">
        <f t="shared" si="5"/>
        <v>0.49999999999999933</v>
      </c>
      <c r="U51" s="4">
        <f t="shared" si="5"/>
        <v>0.39999999999999936</v>
      </c>
      <c r="V51" s="4">
        <f t="shared" si="5"/>
        <v>0.29999999999999938</v>
      </c>
      <c r="W51" s="4">
        <f t="shared" si="5"/>
        <v>0.19999999999999937</v>
      </c>
      <c r="X51" s="4">
        <f t="shared" si="5"/>
        <v>9.9999999999999367E-2</v>
      </c>
      <c r="Y51" s="4">
        <f t="shared" si="5"/>
        <v>-6.3837823915946501E-16</v>
      </c>
      <c r="Z51" s="4">
        <f t="shared" si="5"/>
        <v>-0.10000000000000064</v>
      </c>
      <c r="AA51" s="4">
        <f t="shared" si="5"/>
        <v>-0.20000000000000065</v>
      </c>
      <c r="AB51" s="4">
        <f t="shared" si="5"/>
        <v>-0.30000000000000066</v>
      </c>
      <c r="AC51" s="4">
        <f t="shared" si="5"/>
        <v>-0.40000000000000069</v>
      </c>
      <c r="AD51" s="4">
        <f t="shared" si="5"/>
        <v>-0.50000000000000067</v>
      </c>
      <c r="AE51" s="4">
        <f t="shared" si="5"/>
        <v>-0.60000000000000064</v>
      </c>
      <c r="AF51" s="4">
        <f t="shared" si="5"/>
        <v>-0.70000000000000062</v>
      </c>
      <c r="AG51" s="4">
        <f t="shared" si="5"/>
        <v>-0.8000000000000006</v>
      </c>
      <c r="AH51" s="4">
        <f t="shared" si="5"/>
        <v>-0.90000000000000058</v>
      </c>
      <c r="AI51" s="4">
        <f t="shared" si="5"/>
        <v>-1.0000000000000007</v>
      </c>
      <c r="AJ51" s="4">
        <f t="shared" si="5"/>
        <v>-1.1000000000000008</v>
      </c>
      <c r="AK51" s="4">
        <f t="shared" si="5"/>
        <v>-1.2000000000000008</v>
      </c>
    </row>
    <row r="52" spans="3:37" outlineLevel="1" x14ac:dyDescent="0.25">
      <c r="C52" s="38">
        <v>2.2999999999999998</v>
      </c>
      <c r="D52" s="4">
        <f t="shared" si="5"/>
        <v>2.1999999999999997</v>
      </c>
      <c r="E52" s="4">
        <f t="shared" si="5"/>
        <v>2.0999999999999996</v>
      </c>
      <c r="F52" s="4">
        <f t="shared" si="5"/>
        <v>1.9999999999999996</v>
      </c>
      <c r="G52" s="4">
        <f t="shared" si="5"/>
        <v>1.8999999999999995</v>
      </c>
      <c r="H52" s="4">
        <f t="shared" si="5"/>
        <v>1.7999999999999994</v>
      </c>
      <c r="I52" s="4">
        <f t="shared" si="5"/>
        <v>1.6999999999999993</v>
      </c>
      <c r="J52" s="4">
        <f t="shared" si="5"/>
        <v>1.5999999999999992</v>
      </c>
      <c r="K52" s="4">
        <f t="shared" si="5"/>
        <v>1.4999999999999991</v>
      </c>
      <c r="L52" s="4">
        <f t="shared" si="5"/>
        <v>1.399999999999999</v>
      </c>
      <c r="M52" s="4">
        <f t="shared" si="5"/>
        <v>1.2999999999999989</v>
      </c>
      <c r="N52" s="4">
        <f t="shared" si="5"/>
        <v>1.1999999999999988</v>
      </c>
      <c r="O52" s="4">
        <f t="shared" si="5"/>
        <v>1.0999999999999988</v>
      </c>
      <c r="P52" s="4">
        <f t="shared" si="5"/>
        <v>0.99999999999999878</v>
      </c>
      <c r="Q52" s="4">
        <f t="shared" si="5"/>
        <v>0.8999999999999988</v>
      </c>
      <c r="R52" s="4">
        <f t="shared" si="5"/>
        <v>0.79999999999999882</v>
      </c>
      <c r="S52" s="4">
        <f t="shared" si="5"/>
        <v>0.69999999999999885</v>
      </c>
      <c r="T52" s="4">
        <f t="shared" si="5"/>
        <v>0.59999999999999887</v>
      </c>
      <c r="U52" s="4">
        <f t="shared" si="5"/>
        <v>0.49999999999999889</v>
      </c>
      <c r="V52" s="4">
        <f t="shared" si="5"/>
        <v>0.39999999999999891</v>
      </c>
      <c r="W52" s="4">
        <f t="shared" si="5"/>
        <v>0.29999999999999893</v>
      </c>
      <c r="X52" s="4">
        <f t="shared" si="5"/>
        <v>0.19999999999999893</v>
      </c>
      <c r="Y52" s="4">
        <f t="shared" si="5"/>
        <v>9.9999999999998923E-2</v>
      </c>
      <c r="Z52" s="4">
        <f t="shared" si="5"/>
        <v>-1.0824674490095276E-15</v>
      </c>
      <c r="AA52" s="4">
        <f t="shared" si="5"/>
        <v>-0.10000000000000109</v>
      </c>
      <c r="AB52" s="4">
        <f t="shared" si="5"/>
        <v>-0.20000000000000109</v>
      </c>
      <c r="AC52" s="4">
        <f t="shared" si="5"/>
        <v>-0.3000000000000011</v>
      </c>
      <c r="AD52" s="4">
        <f t="shared" si="5"/>
        <v>-0.40000000000000113</v>
      </c>
      <c r="AE52" s="4">
        <f t="shared" si="5"/>
        <v>-0.50000000000000111</v>
      </c>
      <c r="AF52" s="4">
        <f t="shared" si="5"/>
        <v>-0.60000000000000109</v>
      </c>
      <c r="AG52" s="4">
        <f t="shared" si="5"/>
        <v>-0.70000000000000107</v>
      </c>
      <c r="AH52" s="4">
        <f t="shared" si="5"/>
        <v>-0.80000000000000104</v>
      </c>
      <c r="AI52" s="4">
        <f t="shared" si="5"/>
        <v>-0.90000000000000102</v>
      </c>
      <c r="AJ52" s="4">
        <f t="shared" si="5"/>
        <v>-1.0000000000000011</v>
      </c>
      <c r="AK52" s="4">
        <f t="shared" si="5"/>
        <v>-1.1000000000000012</v>
      </c>
    </row>
    <row r="53" spans="3:37" outlineLevel="1" x14ac:dyDescent="0.25">
      <c r="C53" s="38">
        <v>2.4</v>
      </c>
      <c r="D53" s="4">
        <f t="shared" si="5"/>
        <v>2.2999999999999998</v>
      </c>
      <c r="E53" s="4">
        <f t="shared" si="5"/>
        <v>2.1999999999999997</v>
      </c>
      <c r="F53" s="4">
        <f t="shared" si="5"/>
        <v>2.0999999999999996</v>
      </c>
      <c r="G53" s="4">
        <f t="shared" si="5"/>
        <v>1.9999999999999996</v>
      </c>
      <c r="H53" s="4">
        <f t="shared" si="5"/>
        <v>1.8999999999999995</v>
      </c>
      <c r="I53" s="4">
        <f t="shared" si="5"/>
        <v>1.7999999999999994</v>
      </c>
      <c r="J53" s="4">
        <f t="shared" si="5"/>
        <v>1.6999999999999993</v>
      </c>
      <c r="K53" s="4">
        <f t="shared" si="5"/>
        <v>1.5999999999999992</v>
      </c>
      <c r="L53" s="4">
        <f t="shared" si="5"/>
        <v>1.4999999999999991</v>
      </c>
      <c r="M53" s="4">
        <f t="shared" si="5"/>
        <v>1.399999999999999</v>
      </c>
      <c r="N53" s="4">
        <f t="shared" si="5"/>
        <v>1.2999999999999989</v>
      </c>
      <c r="O53" s="4">
        <f t="shared" si="5"/>
        <v>1.1999999999999988</v>
      </c>
      <c r="P53" s="4">
        <f t="shared" si="5"/>
        <v>1.0999999999999988</v>
      </c>
      <c r="Q53" s="4">
        <f t="shared" si="5"/>
        <v>0.99999999999999878</v>
      </c>
      <c r="R53" s="4">
        <f t="shared" si="5"/>
        <v>0.8999999999999988</v>
      </c>
      <c r="S53" s="4">
        <f t="shared" si="5"/>
        <v>0.79999999999999882</v>
      </c>
      <c r="T53" s="4">
        <f t="shared" si="5"/>
        <v>0.69999999999999885</v>
      </c>
      <c r="U53" s="4">
        <f t="shared" si="5"/>
        <v>0.59999999999999887</v>
      </c>
      <c r="V53" s="4">
        <f t="shared" si="5"/>
        <v>0.49999999999999889</v>
      </c>
      <c r="W53" s="4">
        <f t="shared" si="5"/>
        <v>0.39999999999999891</v>
      </c>
      <c r="X53" s="4">
        <f t="shared" si="5"/>
        <v>0.29999999999999893</v>
      </c>
      <c r="Y53" s="4">
        <f t="shared" si="5"/>
        <v>0.19999999999999893</v>
      </c>
      <c r="Z53" s="4">
        <f t="shared" si="5"/>
        <v>9.9999999999998923E-2</v>
      </c>
      <c r="AA53" s="4">
        <f t="shared" si="5"/>
        <v>-1.0824674490095276E-15</v>
      </c>
      <c r="AB53" s="4">
        <f t="shared" si="5"/>
        <v>-0.10000000000000109</v>
      </c>
      <c r="AC53" s="4">
        <f t="shared" si="5"/>
        <v>-0.20000000000000109</v>
      </c>
      <c r="AD53" s="4">
        <f t="shared" si="5"/>
        <v>-0.3000000000000011</v>
      </c>
      <c r="AE53" s="4">
        <f t="shared" si="5"/>
        <v>-0.40000000000000113</v>
      </c>
      <c r="AF53" s="4">
        <f t="shared" si="5"/>
        <v>-0.50000000000000111</v>
      </c>
      <c r="AG53" s="4">
        <f t="shared" si="5"/>
        <v>-0.60000000000000109</v>
      </c>
      <c r="AH53" s="4">
        <f t="shared" si="5"/>
        <v>-0.70000000000000107</v>
      </c>
      <c r="AI53" s="4">
        <f t="shared" si="5"/>
        <v>-0.80000000000000104</v>
      </c>
      <c r="AJ53" s="4">
        <f t="shared" si="5"/>
        <v>-0.90000000000000102</v>
      </c>
      <c r="AK53" s="4">
        <f t="shared" si="5"/>
        <v>-1.0000000000000011</v>
      </c>
    </row>
    <row r="54" spans="3:37" outlineLevel="1" x14ac:dyDescent="0.25">
      <c r="C54" s="38">
        <v>2.5</v>
      </c>
      <c r="D54" s="4">
        <f t="shared" si="5"/>
        <v>2.4</v>
      </c>
      <c r="E54" s="4">
        <f t="shared" si="5"/>
        <v>2.2999999999999998</v>
      </c>
      <c r="F54" s="4">
        <f t="shared" si="5"/>
        <v>2.1999999999999997</v>
      </c>
      <c r="G54" s="4">
        <f t="shared" si="5"/>
        <v>2.0999999999999996</v>
      </c>
      <c r="H54" s="4">
        <f t="shared" si="5"/>
        <v>1.9999999999999996</v>
      </c>
      <c r="I54" s="4">
        <f t="shared" si="5"/>
        <v>1.8999999999999995</v>
      </c>
      <c r="J54" s="4">
        <f t="shared" si="5"/>
        <v>1.7999999999999994</v>
      </c>
      <c r="K54" s="4">
        <f t="shared" si="5"/>
        <v>1.6999999999999993</v>
      </c>
      <c r="L54" s="4">
        <f t="shared" si="5"/>
        <v>1.5999999999999992</v>
      </c>
      <c r="M54" s="4">
        <f t="shared" si="5"/>
        <v>1.4999999999999991</v>
      </c>
      <c r="N54" s="4">
        <f t="shared" si="5"/>
        <v>1.399999999999999</v>
      </c>
      <c r="O54" s="4">
        <f t="shared" si="5"/>
        <v>1.2999999999999989</v>
      </c>
      <c r="P54" s="4">
        <f t="shared" si="5"/>
        <v>1.1999999999999988</v>
      </c>
      <c r="Q54" s="4">
        <f t="shared" si="5"/>
        <v>1.0999999999999988</v>
      </c>
      <c r="R54" s="4">
        <f t="shared" si="5"/>
        <v>0.99999999999999878</v>
      </c>
      <c r="S54" s="4">
        <f t="shared" si="5"/>
        <v>0.8999999999999988</v>
      </c>
      <c r="T54" s="4">
        <f t="shared" si="5"/>
        <v>0.79999999999999882</v>
      </c>
      <c r="U54" s="4">
        <f t="shared" si="5"/>
        <v>0.69999999999999885</v>
      </c>
      <c r="V54" s="4">
        <f t="shared" si="5"/>
        <v>0.59999999999999887</v>
      </c>
      <c r="W54" s="4">
        <f t="shared" si="5"/>
        <v>0.49999999999999889</v>
      </c>
      <c r="X54" s="4">
        <f t="shared" si="5"/>
        <v>0.39999999999999891</v>
      </c>
      <c r="Y54" s="4">
        <f t="shared" si="5"/>
        <v>0.29999999999999893</v>
      </c>
      <c r="Z54" s="4">
        <f t="shared" si="5"/>
        <v>0.19999999999999893</v>
      </c>
      <c r="AA54" s="4">
        <f t="shared" si="5"/>
        <v>9.9999999999998923E-2</v>
      </c>
      <c r="AB54" s="4">
        <f t="shared" si="5"/>
        <v>-1.0824674490095276E-15</v>
      </c>
      <c r="AC54" s="4">
        <f t="shared" si="5"/>
        <v>-0.10000000000000109</v>
      </c>
      <c r="AD54" s="4">
        <f t="shared" si="5"/>
        <v>-0.20000000000000109</v>
      </c>
      <c r="AE54" s="4">
        <f t="shared" si="5"/>
        <v>-0.3000000000000011</v>
      </c>
      <c r="AF54" s="4">
        <f t="shared" si="5"/>
        <v>-0.40000000000000113</v>
      </c>
      <c r="AG54" s="4">
        <f t="shared" si="5"/>
        <v>-0.50000000000000111</v>
      </c>
      <c r="AH54" s="4">
        <f t="shared" si="5"/>
        <v>-0.60000000000000109</v>
      </c>
      <c r="AI54" s="4">
        <f t="shared" si="5"/>
        <v>-0.70000000000000107</v>
      </c>
      <c r="AJ54" s="4">
        <f t="shared" si="5"/>
        <v>-0.80000000000000104</v>
      </c>
      <c r="AK54" s="4">
        <f t="shared" si="5"/>
        <v>-0.90000000000000102</v>
      </c>
    </row>
    <row r="55" spans="3:37" outlineLevel="1" x14ac:dyDescent="0.25">
      <c r="C55" s="38">
        <v>2.6</v>
      </c>
      <c r="D55" s="4">
        <f t="shared" si="5"/>
        <v>2.5</v>
      </c>
      <c r="E55" s="4">
        <f t="shared" si="5"/>
        <v>2.4</v>
      </c>
      <c r="F55" s="4">
        <f t="shared" si="5"/>
        <v>2.2999999999999998</v>
      </c>
      <c r="G55" s="4">
        <f t="shared" si="5"/>
        <v>2.1999999999999997</v>
      </c>
      <c r="H55" s="4">
        <f t="shared" si="5"/>
        <v>2.0999999999999996</v>
      </c>
      <c r="I55" s="4">
        <f t="shared" si="5"/>
        <v>1.9999999999999996</v>
      </c>
      <c r="J55" s="4">
        <f t="shared" si="5"/>
        <v>1.8999999999999995</v>
      </c>
      <c r="K55" s="4">
        <f t="shared" si="5"/>
        <v>1.7999999999999994</v>
      </c>
      <c r="L55" s="4">
        <f t="shared" si="5"/>
        <v>1.6999999999999993</v>
      </c>
      <c r="M55" s="4">
        <f t="shared" si="5"/>
        <v>1.5999999999999992</v>
      </c>
      <c r="N55" s="4">
        <f t="shared" si="5"/>
        <v>1.4999999999999991</v>
      </c>
      <c r="O55" s="4">
        <f t="shared" si="5"/>
        <v>1.399999999999999</v>
      </c>
      <c r="P55" s="4">
        <f t="shared" si="5"/>
        <v>1.2999999999999989</v>
      </c>
      <c r="Q55" s="4">
        <f t="shared" si="5"/>
        <v>1.1999999999999988</v>
      </c>
      <c r="R55" s="4">
        <f t="shared" si="5"/>
        <v>1.0999999999999988</v>
      </c>
      <c r="S55" s="4">
        <f t="shared" si="5"/>
        <v>0.99999999999999878</v>
      </c>
      <c r="T55" s="4">
        <f t="shared" si="5"/>
        <v>0.8999999999999988</v>
      </c>
      <c r="U55" s="4">
        <f t="shared" si="5"/>
        <v>0.79999999999999882</v>
      </c>
      <c r="V55" s="4">
        <f t="shared" si="5"/>
        <v>0.69999999999999885</v>
      </c>
      <c r="W55" s="4">
        <f t="shared" si="5"/>
        <v>0.59999999999999887</v>
      </c>
      <c r="X55" s="4">
        <f t="shared" si="5"/>
        <v>0.49999999999999889</v>
      </c>
      <c r="Y55" s="4">
        <f t="shared" si="5"/>
        <v>0.39999999999999891</v>
      </c>
      <c r="Z55" s="4">
        <f t="shared" si="5"/>
        <v>0.29999999999999893</v>
      </c>
      <c r="AA55" s="4">
        <f t="shared" si="5"/>
        <v>0.19999999999999893</v>
      </c>
      <c r="AB55" s="4">
        <f t="shared" si="5"/>
        <v>9.9999999999998923E-2</v>
      </c>
      <c r="AC55" s="4">
        <f t="shared" si="5"/>
        <v>-1.0824674490095276E-15</v>
      </c>
      <c r="AD55" s="4">
        <f t="shared" si="5"/>
        <v>-0.10000000000000109</v>
      </c>
      <c r="AE55" s="4">
        <f t="shared" si="5"/>
        <v>-0.20000000000000109</v>
      </c>
      <c r="AF55" s="4">
        <f t="shared" si="5"/>
        <v>-0.3000000000000011</v>
      </c>
      <c r="AG55" s="4">
        <f t="shared" si="5"/>
        <v>-0.40000000000000113</v>
      </c>
      <c r="AH55" s="4">
        <f t="shared" si="5"/>
        <v>-0.50000000000000111</v>
      </c>
      <c r="AI55" s="4">
        <f t="shared" si="5"/>
        <v>-0.60000000000000109</v>
      </c>
      <c r="AJ55" s="4">
        <f t="shared" si="5"/>
        <v>-0.70000000000000107</v>
      </c>
      <c r="AK55" s="4">
        <f t="shared" si="5"/>
        <v>-0.80000000000000104</v>
      </c>
    </row>
    <row r="56" spans="3:37" outlineLevel="1" x14ac:dyDescent="0.25">
      <c r="C56" s="38">
        <v>2.7</v>
      </c>
      <c r="D56" s="4">
        <f t="shared" si="5"/>
        <v>2.6</v>
      </c>
      <c r="E56" s="4">
        <f t="shared" si="5"/>
        <v>2.5</v>
      </c>
      <c r="F56" s="4">
        <f t="shared" si="5"/>
        <v>2.4</v>
      </c>
      <c r="G56" s="4">
        <f t="shared" si="5"/>
        <v>2.2999999999999998</v>
      </c>
      <c r="H56" s="4">
        <f t="shared" si="5"/>
        <v>2.1999999999999997</v>
      </c>
      <c r="I56" s="4">
        <f t="shared" si="5"/>
        <v>2.0999999999999996</v>
      </c>
      <c r="J56" s="4">
        <f t="shared" si="5"/>
        <v>1.9999999999999996</v>
      </c>
      <c r="K56" s="4">
        <f t="shared" si="5"/>
        <v>1.8999999999999995</v>
      </c>
      <c r="L56" s="4">
        <f t="shared" si="5"/>
        <v>1.7999999999999994</v>
      </c>
      <c r="M56" s="4">
        <f t="shared" si="5"/>
        <v>1.6999999999999993</v>
      </c>
      <c r="N56" s="4">
        <f t="shared" si="5"/>
        <v>1.5999999999999992</v>
      </c>
      <c r="O56" s="4">
        <f t="shared" si="5"/>
        <v>1.4999999999999991</v>
      </c>
      <c r="P56" s="4">
        <f t="shared" si="5"/>
        <v>1.399999999999999</v>
      </c>
      <c r="Q56" s="4">
        <f t="shared" si="5"/>
        <v>1.2999999999999989</v>
      </c>
      <c r="R56" s="4">
        <f t="shared" si="5"/>
        <v>1.1999999999999988</v>
      </c>
      <c r="S56" s="4">
        <f t="shared" si="5"/>
        <v>1.0999999999999988</v>
      </c>
      <c r="T56" s="4">
        <f t="shared" si="5"/>
        <v>0.99999999999999878</v>
      </c>
      <c r="U56" s="4">
        <f t="shared" ref="U56:AK56" si="6">(IF(T56&lt;=4.4,T56-$E$6,IF(AND(T56&gt;=4.5,T56&lt;=11.4),T56-$E$7,IF(AND(T56&gt;=11.5,T56&lt;=18.4),T56-$E$8,IF(AND(T56&gt;=18.5,T56&lt;=26.4),T56-$E$9,IF(AND(T56&gt;=26.4,T56&lt;=36),T56-$E$10,IF(T56&gt;=37,T56-$E$11)))))))</f>
        <v>0.8999999999999988</v>
      </c>
      <c r="V56" s="4">
        <f t="shared" si="6"/>
        <v>0.79999999999999882</v>
      </c>
      <c r="W56" s="4">
        <f t="shared" si="6"/>
        <v>0.69999999999999885</v>
      </c>
      <c r="X56" s="4">
        <f t="shared" si="6"/>
        <v>0.59999999999999887</v>
      </c>
      <c r="Y56" s="4">
        <f t="shared" si="6"/>
        <v>0.49999999999999889</v>
      </c>
      <c r="Z56" s="4">
        <f t="shared" si="6"/>
        <v>0.39999999999999891</v>
      </c>
      <c r="AA56" s="4">
        <f t="shared" si="6"/>
        <v>0.29999999999999893</v>
      </c>
      <c r="AB56" s="4">
        <f t="shared" si="6"/>
        <v>0.19999999999999893</v>
      </c>
      <c r="AC56" s="4">
        <f t="shared" si="6"/>
        <v>9.9999999999998923E-2</v>
      </c>
      <c r="AD56" s="4">
        <f t="shared" si="6"/>
        <v>-1.0824674490095276E-15</v>
      </c>
      <c r="AE56" s="4">
        <f t="shared" si="6"/>
        <v>-0.10000000000000109</v>
      </c>
      <c r="AF56" s="4">
        <f t="shared" si="6"/>
        <v>-0.20000000000000109</v>
      </c>
      <c r="AG56" s="4">
        <f t="shared" si="6"/>
        <v>-0.3000000000000011</v>
      </c>
      <c r="AH56" s="4">
        <f t="shared" si="6"/>
        <v>-0.40000000000000113</v>
      </c>
      <c r="AI56" s="4">
        <f t="shared" si="6"/>
        <v>-0.50000000000000111</v>
      </c>
      <c r="AJ56" s="4">
        <f t="shared" si="6"/>
        <v>-0.60000000000000109</v>
      </c>
      <c r="AK56" s="4">
        <f t="shared" si="6"/>
        <v>-0.70000000000000107</v>
      </c>
    </row>
    <row r="57" spans="3:37" outlineLevel="1" x14ac:dyDescent="0.25">
      <c r="C57" s="38">
        <v>2.8</v>
      </c>
      <c r="D57" s="4">
        <f t="shared" ref="D57:AK64" si="7">(IF(C57&lt;=4.4,C57-$E$6,IF(AND(C57&gt;=4.5,C57&lt;=11.4),C57-$E$7,IF(AND(C57&gt;=11.5,C57&lt;=18.4),C57-$E$8,IF(AND(C57&gt;=18.5,C57&lt;=26.4),C57-$E$9,IF(AND(C57&gt;=26.4,C57&lt;=36),C57-$E$10,IF(C57&gt;=37,C57-$E$11)))))))</f>
        <v>2.6999999999999997</v>
      </c>
      <c r="E57" s="4">
        <f t="shared" si="7"/>
        <v>2.5999999999999996</v>
      </c>
      <c r="F57" s="4">
        <f t="shared" si="7"/>
        <v>2.4999999999999996</v>
      </c>
      <c r="G57" s="4">
        <f t="shared" si="7"/>
        <v>2.3999999999999995</v>
      </c>
      <c r="H57" s="4">
        <f t="shared" si="7"/>
        <v>2.2999999999999994</v>
      </c>
      <c r="I57" s="4">
        <f t="shared" si="7"/>
        <v>2.1999999999999993</v>
      </c>
      <c r="J57" s="4">
        <f t="shared" si="7"/>
        <v>2.0999999999999992</v>
      </c>
      <c r="K57" s="4">
        <f t="shared" si="7"/>
        <v>1.9999999999999991</v>
      </c>
      <c r="L57" s="4">
        <f t="shared" si="7"/>
        <v>1.899999999999999</v>
      </c>
      <c r="M57" s="4">
        <f t="shared" si="7"/>
        <v>1.7999999999999989</v>
      </c>
      <c r="N57" s="4">
        <f t="shared" si="7"/>
        <v>1.6999999999999988</v>
      </c>
      <c r="O57" s="4">
        <f t="shared" si="7"/>
        <v>1.5999999999999988</v>
      </c>
      <c r="P57" s="4">
        <f t="shared" si="7"/>
        <v>1.4999999999999987</v>
      </c>
      <c r="Q57" s="4">
        <f t="shared" si="7"/>
        <v>1.3999999999999986</v>
      </c>
      <c r="R57" s="4">
        <f t="shared" si="7"/>
        <v>1.2999999999999985</v>
      </c>
      <c r="S57" s="4">
        <f t="shared" si="7"/>
        <v>1.1999999999999984</v>
      </c>
      <c r="T57" s="4">
        <f t="shared" si="7"/>
        <v>1.0999999999999983</v>
      </c>
      <c r="U57" s="4">
        <f t="shared" si="7"/>
        <v>0.99999999999999833</v>
      </c>
      <c r="V57" s="4">
        <f t="shared" si="7"/>
        <v>0.89999999999999836</v>
      </c>
      <c r="W57" s="4">
        <f t="shared" si="7"/>
        <v>0.79999999999999838</v>
      </c>
      <c r="X57" s="4">
        <f t="shared" si="7"/>
        <v>0.6999999999999984</v>
      </c>
      <c r="Y57" s="4">
        <f t="shared" si="7"/>
        <v>0.59999999999999842</v>
      </c>
      <c r="Z57" s="4">
        <f t="shared" si="7"/>
        <v>0.49999999999999845</v>
      </c>
      <c r="AA57" s="4">
        <f t="shared" si="7"/>
        <v>0.39999999999999847</v>
      </c>
      <c r="AB57" s="4">
        <f t="shared" si="7"/>
        <v>0.29999999999999849</v>
      </c>
      <c r="AC57" s="4">
        <f t="shared" si="7"/>
        <v>0.19999999999999848</v>
      </c>
      <c r="AD57" s="4">
        <f t="shared" si="7"/>
        <v>9.9999999999998479E-2</v>
      </c>
      <c r="AE57" s="4">
        <f t="shared" si="7"/>
        <v>-1.5265566588595902E-15</v>
      </c>
      <c r="AF57" s="4">
        <f t="shared" si="7"/>
        <v>-0.10000000000000153</v>
      </c>
      <c r="AG57" s="4">
        <f t="shared" si="7"/>
        <v>-0.20000000000000154</v>
      </c>
      <c r="AH57" s="4">
        <f t="shared" si="7"/>
        <v>-0.30000000000000154</v>
      </c>
      <c r="AI57" s="4">
        <f t="shared" si="7"/>
        <v>-0.40000000000000158</v>
      </c>
      <c r="AJ57" s="4">
        <f t="shared" si="7"/>
        <v>-0.50000000000000155</v>
      </c>
      <c r="AK57" s="4">
        <f t="shared" si="7"/>
        <v>-0.60000000000000153</v>
      </c>
    </row>
    <row r="58" spans="3:37" outlineLevel="1" x14ac:dyDescent="0.25">
      <c r="C58" s="38">
        <v>2.9</v>
      </c>
      <c r="D58" s="4">
        <f t="shared" si="7"/>
        <v>2.8</v>
      </c>
      <c r="E58" s="4">
        <f t="shared" si="7"/>
        <v>2.6999999999999997</v>
      </c>
      <c r="F58" s="4">
        <f t="shared" si="7"/>
        <v>2.5999999999999996</v>
      </c>
      <c r="G58" s="4">
        <f t="shared" si="7"/>
        <v>2.4999999999999996</v>
      </c>
      <c r="H58" s="4">
        <f t="shared" si="7"/>
        <v>2.3999999999999995</v>
      </c>
      <c r="I58" s="4">
        <f t="shared" si="7"/>
        <v>2.2999999999999994</v>
      </c>
      <c r="J58" s="4">
        <f t="shared" si="7"/>
        <v>2.1999999999999993</v>
      </c>
      <c r="K58" s="4">
        <f t="shared" si="7"/>
        <v>2.0999999999999992</v>
      </c>
      <c r="L58" s="4">
        <f t="shared" si="7"/>
        <v>1.9999999999999991</v>
      </c>
      <c r="M58" s="4">
        <f t="shared" si="7"/>
        <v>1.899999999999999</v>
      </c>
      <c r="N58" s="4">
        <f t="shared" si="7"/>
        <v>1.7999999999999989</v>
      </c>
      <c r="O58" s="4">
        <f t="shared" si="7"/>
        <v>1.6999999999999988</v>
      </c>
      <c r="P58" s="4">
        <f t="shared" si="7"/>
        <v>1.5999999999999988</v>
      </c>
      <c r="Q58" s="4">
        <f t="shared" si="7"/>
        <v>1.4999999999999987</v>
      </c>
      <c r="R58" s="4">
        <f t="shared" si="7"/>
        <v>1.3999999999999986</v>
      </c>
      <c r="S58" s="4">
        <f t="shared" si="7"/>
        <v>1.2999999999999985</v>
      </c>
      <c r="T58" s="4">
        <f t="shared" si="7"/>
        <v>1.1999999999999984</v>
      </c>
      <c r="U58" s="4">
        <f t="shared" si="7"/>
        <v>1.0999999999999983</v>
      </c>
      <c r="V58" s="4">
        <f t="shared" si="7"/>
        <v>0.99999999999999833</v>
      </c>
      <c r="W58" s="4">
        <f t="shared" si="7"/>
        <v>0.89999999999999836</v>
      </c>
      <c r="X58" s="4">
        <f t="shared" si="7"/>
        <v>0.79999999999999838</v>
      </c>
      <c r="Y58" s="4">
        <f t="shared" si="7"/>
        <v>0.6999999999999984</v>
      </c>
      <c r="Z58" s="4">
        <f t="shared" si="7"/>
        <v>0.59999999999999842</v>
      </c>
      <c r="AA58" s="4">
        <f t="shared" si="7"/>
        <v>0.49999999999999845</v>
      </c>
      <c r="AB58" s="4">
        <f t="shared" si="7"/>
        <v>0.39999999999999847</v>
      </c>
      <c r="AC58" s="4">
        <f t="shared" si="7"/>
        <v>0.29999999999999849</v>
      </c>
      <c r="AD58" s="4">
        <f t="shared" si="7"/>
        <v>0.19999999999999848</v>
      </c>
      <c r="AE58" s="4">
        <f t="shared" si="7"/>
        <v>9.9999999999998479E-2</v>
      </c>
      <c r="AF58" s="4">
        <f t="shared" si="7"/>
        <v>-1.5265566588595902E-15</v>
      </c>
      <c r="AG58" s="4">
        <f t="shared" si="7"/>
        <v>-0.10000000000000153</v>
      </c>
      <c r="AH58" s="4">
        <f t="shared" si="7"/>
        <v>-0.20000000000000154</v>
      </c>
      <c r="AI58" s="4">
        <f t="shared" si="7"/>
        <v>-0.30000000000000154</v>
      </c>
      <c r="AJ58" s="4">
        <f t="shared" si="7"/>
        <v>-0.40000000000000158</v>
      </c>
      <c r="AK58" s="4">
        <f t="shared" si="7"/>
        <v>-0.50000000000000155</v>
      </c>
    </row>
    <row r="59" spans="3:37" outlineLevel="1" x14ac:dyDescent="0.25">
      <c r="C59" s="38">
        <v>3</v>
      </c>
      <c r="D59" s="4">
        <f t="shared" si="7"/>
        <v>2.9</v>
      </c>
      <c r="E59" s="4">
        <f t="shared" si="7"/>
        <v>2.8</v>
      </c>
      <c r="F59" s="4">
        <f t="shared" si="7"/>
        <v>2.6999999999999997</v>
      </c>
      <c r="G59" s="4">
        <f t="shared" si="7"/>
        <v>2.5999999999999996</v>
      </c>
      <c r="H59" s="4">
        <f t="shared" si="7"/>
        <v>2.4999999999999996</v>
      </c>
      <c r="I59" s="4">
        <f t="shared" si="7"/>
        <v>2.3999999999999995</v>
      </c>
      <c r="J59" s="4">
        <f t="shared" si="7"/>
        <v>2.2999999999999994</v>
      </c>
      <c r="K59" s="4">
        <f t="shared" si="7"/>
        <v>2.1999999999999993</v>
      </c>
      <c r="L59" s="4">
        <f t="shared" si="7"/>
        <v>2.0999999999999992</v>
      </c>
      <c r="M59" s="4">
        <f t="shared" si="7"/>
        <v>1.9999999999999991</v>
      </c>
      <c r="N59" s="4">
        <f t="shared" si="7"/>
        <v>1.899999999999999</v>
      </c>
      <c r="O59" s="4">
        <f t="shared" si="7"/>
        <v>1.7999999999999989</v>
      </c>
      <c r="P59" s="4">
        <f t="shared" si="7"/>
        <v>1.6999999999999988</v>
      </c>
      <c r="Q59" s="4">
        <f t="shared" si="7"/>
        <v>1.5999999999999988</v>
      </c>
      <c r="R59" s="4">
        <f t="shared" si="7"/>
        <v>1.4999999999999987</v>
      </c>
      <c r="S59" s="4">
        <f t="shared" si="7"/>
        <v>1.3999999999999986</v>
      </c>
      <c r="T59" s="4">
        <f t="shared" si="7"/>
        <v>1.2999999999999985</v>
      </c>
      <c r="U59" s="4">
        <f t="shared" si="7"/>
        <v>1.1999999999999984</v>
      </c>
      <c r="V59" s="4">
        <f t="shared" si="7"/>
        <v>1.0999999999999983</v>
      </c>
      <c r="W59" s="4">
        <f t="shared" si="7"/>
        <v>0.99999999999999833</v>
      </c>
      <c r="X59" s="4">
        <f t="shared" si="7"/>
        <v>0.89999999999999836</v>
      </c>
      <c r="Y59" s="4">
        <f t="shared" si="7"/>
        <v>0.79999999999999838</v>
      </c>
      <c r="Z59" s="4">
        <f t="shared" si="7"/>
        <v>0.6999999999999984</v>
      </c>
      <c r="AA59" s="4">
        <f t="shared" si="7"/>
        <v>0.59999999999999842</v>
      </c>
      <c r="AB59" s="4">
        <f t="shared" si="7"/>
        <v>0.49999999999999845</v>
      </c>
      <c r="AC59" s="4">
        <f t="shared" si="7"/>
        <v>0.39999999999999847</v>
      </c>
      <c r="AD59" s="4">
        <f t="shared" si="7"/>
        <v>0.29999999999999849</v>
      </c>
      <c r="AE59" s="4">
        <f t="shared" si="7"/>
        <v>0.19999999999999848</v>
      </c>
      <c r="AF59" s="4">
        <f t="shared" si="7"/>
        <v>9.9999999999998479E-2</v>
      </c>
      <c r="AG59" s="4">
        <f t="shared" si="7"/>
        <v>-1.5265566588595902E-15</v>
      </c>
      <c r="AH59" s="4">
        <f t="shared" si="7"/>
        <v>-0.10000000000000153</v>
      </c>
      <c r="AI59" s="4">
        <f t="shared" si="7"/>
        <v>-0.20000000000000154</v>
      </c>
      <c r="AJ59" s="4">
        <f t="shared" si="7"/>
        <v>-0.30000000000000154</v>
      </c>
      <c r="AK59" s="4">
        <f t="shared" si="7"/>
        <v>-0.40000000000000158</v>
      </c>
    </row>
    <row r="60" spans="3:37" outlineLevel="1" x14ac:dyDescent="0.25">
      <c r="C60" s="38">
        <v>3.1</v>
      </c>
      <c r="D60" s="4">
        <f t="shared" si="7"/>
        <v>3</v>
      </c>
      <c r="E60" s="4">
        <f t="shared" si="7"/>
        <v>2.9</v>
      </c>
      <c r="F60" s="4">
        <f t="shared" si="7"/>
        <v>2.8</v>
      </c>
      <c r="G60" s="4">
        <f t="shared" si="7"/>
        <v>2.6999999999999997</v>
      </c>
      <c r="H60" s="4">
        <f t="shared" si="7"/>
        <v>2.5999999999999996</v>
      </c>
      <c r="I60" s="4">
        <f t="shared" si="7"/>
        <v>2.4999999999999996</v>
      </c>
      <c r="J60" s="4">
        <f t="shared" si="7"/>
        <v>2.3999999999999995</v>
      </c>
      <c r="K60" s="4">
        <f t="shared" si="7"/>
        <v>2.2999999999999994</v>
      </c>
      <c r="L60" s="4">
        <f t="shared" si="7"/>
        <v>2.1999999999999993</v>
      </c>
      <c r="M60" s="4">
        <f t="shared" si="7"/>
        <v>2.0999999999999992</v>
      </c>
      <c r="N60" s="4">
        <f t="shared" si="7"/>
        <v>1.9999999999999991</v>
      </c>
      <c r="O60" s="4">
        <f t="shared" si="7"/>
        <v>1.899999999999999</v>
      </c>
      <c r="P60" s="4">
        <f t="shared" si="7"/>
        <v>1.7999999999999989</v>
      </c>
      <c r="Q60" s="4">
        <f t="shared" si="7"/>
        <v>1.6999999999999988</v>
      </c>
      <c r="R60" s="4">
        <f t="shared" si="7"/>
        <v>1.5999999999999988</v>
      </c>
      <c r="S60" s="4">
        <f t="shared" si="7"/>
        <v>1.4999999999999987</v>
      </c>
      <c r="T60" s="4">
        <f t="shared" si="7"/>
        <v>1.3999999999999986</v>
      </c>
      <c r="U60" s="4">
        <f t="shared" si="7"/>
        <v>1.2999999999999985</v>
      </c>
      <c r="V60" s="4">
        <f t="shared" si="7"/>
        <v>1.1999999999999984</v>
      </c>
      <c r="W60" s="4">
        <f t="shared" si="7"/>
        <v>1.0999999999999983</v>
      </c>
      <c r="X60" s="4">
        <f t="shared" si="7"/>
        <v>0.99999999999999833</v>
      </c>
      <c r="Y60" s="4">
        <f t="shared" si="7"/>
        <v>0.89999999999999836</v>
      </c>
      <c r="Z60" s="4">
        <f t="shared" si="7"/>
        <v>0.79999999999999838</v>
      </c>
      <c r="AA60" s="4">
        <f t="shared" si="7"/>
        <v>0.6999999999999984</v>
      </c>
      <c r="AB60" s="4">
        <f t="shared" si="7"/>
        <v>0.59999999999999842</v>
      </c>
      <c r="AC60" s="4">
        <f t="shared" si="7"/>
        <v>0.49999999999999845</v>
      </c>
      <c r="AD60" s="4">
        <f t="shared" si="7"/>
        <v>0.39999999999999847</v>
      </c>
      <c r="AE60" s="4">
        <f t="shared" si="7"/>
        <v>0.29999999999999849</v>
      </c>
      <c r="AF60" s="4">
        <f t="shared" si="7"/>
        <v>0.19999999999999848</v>
      </c>
      <c r="AG60" s="4">
        <f t="shared" si="7"/>
        <v>9.9999999999998479E-2</v>
      </c>
      <c r="AH60" s="4">
        <f t="shared" si="7"/>
        <v>-1.5265566588595902E-15</v>
      </c>
      <c r="AI60" s="4">
        <f t="shared" si="7"/>
        <v>-0.10000000000000153</v>
      </c>
      <c r="AJ60" s="4">
        <f t="shared" si="7"/>
        <v>-0.20000000000000154</v>
      </c>
      <c r="AK60" s="4">
        <f t="shared" si="7"/>
        <v>-0.30000000000000154</v>
      </c>
    </row>
    <row r="61" spans="3:37" outlineLevel="1" x14ac:dyDescent="0.25">
      <c r="C61" s="38">
        <v>3.2</v>
      </c>
      <c r="D61" s="4">
        <f t="shared" si="7"/>
        <v>3.1</v>
      </c>
      <c r="E61" s="4">
        <f t="shared" si="7"/>
        <v>3</v>
      </c>
      <c r="F61" s="4">
        <f t="shared" si="7"/>
        <v>2.9</v>
      </c>
      <c r="G61" s="4">
        <f t="shared" si="7"/>
        <v>2.8</v>
      </c>
      <c r="H61" s="4">
        <f t="shared" si="7"/>
        <v>2.6999999999999997</v>
      </c>
      <c r="I61" s="4">
        <f t="shared" si="7"/>
        <v>2.5999999999999996</v>
      </c>
      <c r="J61" s="4">
        <f t="shared" si="7"/>
        <v>2.4999999999999996</v>
      </c>
      <c r="K61" s="4">
        <f t="shared" si="7"/>
        <v>2.3999999999999995</v>
      </c>
      <c r="L61" s="4">
        <f t="shared" si="7"/>
        <v>2.2999999999999994</v>
      </c>
      <c r="M61" s="4">
        <f t="shared" si="7"/>
        <v>2.1999999999999993</v>
      </c>
      <c r="N61" s="4">
        <f t="shared" si="7"/>
        <v>2.0999999999999992</v>
      </c>
      <c r="O61" s="4">
        <f t="shared" si="7"/>
        <v>1.9999999999999991</v>
      </c>
      <c r="P61" s="4">
        <f t="shared" si="7"/>
        <v>1.899999999999999</v>
      </c>
      <c r="Q61" s="4">
        <f t="shared" si="7"/>
        <v>1.7999999999999989</v>
      </c>
      <c r="R61" s="4">
        <f t="shared" si="7"/>
        <v>1.6999999999999988</v>
      </c>
      <c r="S61" s="4">
        <f t="shared" si="7"/>
        <v>1.5999999999999988</v>
      </c>
      <c r="T61" s="4">
        <f t="shared" si="7"/>
        <v>1.4999999999999987</v>
      </c>
      <c r="U61" s="4">
        <f t="shared" si="7"/>
        <v>1.3999999999999986</v>
      </c>
      <c r="V61" s="4">
        <f t="shared" si="7"/>
        <v>1.2999999999999985</v>
      </c>
      <c r="W61" s="4">
        <f t="shared" si="7"/>
        <v>1.1999999999999984</v>
      </c>
      <c r="X61" s="4">
        <f t="shared" si="7"/>
        <v>1.0999999999999983</v>
      </c>
      <c r="Y61" s="4">
        <f t="shared" si="7"/>
        <v>0.99999999999999833</v>
      </c>
      <c r="Z61" s="4">
        <f t="shared" si="7"/>
        <v>0.89999999999999836</v>
      </c>
      <c r="AA61" s="4">
        <f t="shared" si="7"/>
        <v>0.79999999999999838</v>
      </c>
      <c r="AB61" s="4">
        <f t="shared" si="7"/>
        <v>0.6999999999999984</v>
      </c>
      <c r="AC61" s="4">
        <f t="shared" si="7"/>
        <v>0.59999999999999842</v>
      </c>
      <c r="AD61" s="4">
        <f t="shared" si="7"/>
        <v>0.49999999999999845</v>
      </c>
      <c r="AE61" s="4">
        <f t="shared" si="7"/>
        <v>0.39999999999999847</v>
      </c>
      <c r="AF61" s="4">
        <f t="shared" si="7"/>
        <v>0.29999999999999849</v>
      </c>
      <c r="AG61" s="4">
        <f t="shared" si="7"/>
        <v>0.19999999999999848</v>
      </c>
      <c r="AH61" s="4">
        <f t="shared" si="7"/>
        <v>9.9999999999998479E-2</v>
      </c>
      <c r="AI61" s="4">
        <f t="shared" si="7"/>
        <v>-1.5265566588595902E-15</v>
      </c>
      <c r="AJ61" s="4">
        <f t="shared" si="7"/>
        <v>-0.10000000000000153</v>
      </c>
      <c r="AK61" s="4">
        <f t="shared" si="7"/>
        <v>-0.20000000000000154</v>
      </c>
    </row>
    <row r="62" spans="3:37" outlineLevel="1" x14ac:dyDescent="0.25">
      <c r="C62" s="38">
        <v>3.3</v>
      </c>
      <c r="D62" s="4">
        <f t="shared" si="7"/>
        <v>3.1999999999999997</v>
      </c>
      <c r="E62" s="4">
        <f t="shared" si="7"/>
        <v>3.0999999999999996</v>
      </c>
      <c r="F62" s="4">
        <f t="shared" si="7"/>
        <v>2.9999999999999996</v>
      </c>
      <c r="G62" s="4">
        <f t="shared" si="7"/>
        <v>2.8999999999999995</v>
      </c>
      <c r="H62" s="4">
        <f t="shared" si="7"/>
        <v>2.7999999999999994</v>
      </c>
      <c r="I62" s="4">
        <f t="shared" si="7"/>
        <v>2.6999999999999993</v>
      </c>
      <c r="J62" s="4">
        <f t="shared" si="7"/>
        <v>2.5999999999999992</v>
      </c>
      <c r="K62" s="4">
        <f t="shared" si="7"/>
        <v>2.4999999999999991</v>
      </c>
      <c r="L62" s="4">
        <f t="shared" si="7"/>
        <v>2.399999999999999</v>
      </c>
      <c r="M62" s="4">
        <f t="shared" si="7"/>
        <v>2.2999999999999989</v>
      </c>
      <c r="N62" s="4">
        <f t="shared" si="7"/>
        <v>2.1999999999999988</v>
      </c>
      <c r="O62" s="4">
        <f t="shared" si="7"/>
        <v>2.0999999999999988</v>
      </c>
      <c r="P62" s="4">
        <f t="shared" si="7"/>
        <v>1.9999999999999987</v>
      </c>
      <c r="Q62" s="4">
        <f t="shared" si="7"/>
        <v>1.8999999999999986</v>
      </c>
      <c r="R62" s="4">
        <f t="shared" si="7"/>
        <v>1.7999999999999985</v>
      </c>
      <c r="S62" s="4">
        <f t="shared" si="7"/>
        <v>1.6999999999999984</v>
      </c>
      <c r="T62" s="4">
        <f t="shared" si="7"/>
        <v>1.5999999999999983</v>
      </c>
      <c r="U62" s="4">
        <f t="shared" si="7"/>
        <v>1.4999999999999982</v>
      </c>
      <c r="V62" s="4">
        <f t="shared" si="7"/>
        <v>1.3999999999999981</v>
      </c>
      <c r="W62" s="4">
        <f t="shared" si="7"/>
        <v>1.299999999999998</v>
      </c>
      <c r="X62" s="4">
        <f t="shared" si="7"/>
        <v>1.199999999999998</v>
      </c>
      <c r="Y62" s="4">
        <f t="shared" si="7"/>
        <v>1.0999999999999979</v>
      </c>
      <c r="Z62" s="4">
        <f t="shared" si="7"/>
        <v>0.99999999999999789</v>
      </c>
      <c r="AA62" s="4">
        <f t="shared" si="7"/>
        <v>0.89999999999999791</v>
      </c>
      <c r="AB62" s="4">
        <f t="shared" si="7"/>
        <v>0.79999999999999793</v>
      </c>
      <c r="AC62" s="4">
        <f t="shared" si="7"/>
        <v>0.69999999999999796</v>
      </c>
      <c r="AD62" s="4">
        <f t="shared" si="7"/>
        <v>0.59999999999999798</v>
      </c>
      <c r="AE62" s="4">
        <f t="shared" si="7"/>
        <v>0.499999999999998</v>
      </c>
      <c r="AF62" s="4">
        <f t="shared" si="7"/>
        <v>0.39999999999999802</v>
      </c>
      <c r="AG62" s="4">
        <f t="shared" si="7"/>
        <v>0.29999999999999805</v>
      </c>
      <c r="AH62" s="4">
        <f t="shared" si="7"/>
        <v>0.19999999999999804</v>
      </c>
      <c r="AI62" s="4">
        <f t="shared" si="7"/>
        <v>9.9999999999998035E-2</v>
      </c>
      <c r="AJ62" s="4">
        <f t="shared" si="7"/>
        <v>-1.9706458687096529E-15</v>
      </c>
      <c r="AK62" s="4">
        <f t="shared" si="7"/>
        <v>-0.10000000000000198</v>
      </c>
    </row>
    <row r="63" spans="3:37" outlineLevel="1" x14ac:dyDescent="0.25">
      <c r="C63" s="38">
        <v>3.4</v>
      </c>
      <c r="D63" s="4">
        <f t="shared" si="7"/>
        <v>3.3</v>
      </c>
      <c r="E63" s="4">
        <f t="shared" si="7"/>
        <v>3.1999999999999997</v>
      </c>
      <c r="F63" s="4">
        <f t="shared" si="7"/>
        <v>3.0999999999999996</v>
      </c>
      <c r="G63" s="4">
        <f t="shared" si="7"/>
        <v>2.9999999999999996</v>
      </c>
      <c r="H63" s="4">
        <f t="shared" si="7"/>
        <v>2.8999999999999995</v>
      </c>
      <c r="I63" s="4">
        <f t="shared" si="7"/>
        <v>2.7999999999999994</v>
      </c>
      <c r="J63" s="4">
        <f t="shared" si="7"/>
        <v>2.6999999999999993</v>
      </c>
      <c r="K63" s="4">
        <f t="shared" si="7"/>
        <v>2.5999999999999992</v>
      </c>
      <c r="L63" s="4">
        <f t="shared" si="7"/>
        <v>2.4999999999999991</v>
      </c>
      <c r="M63" s="4">
        <f t="shared" si="7"/>
        <v>2.399999999999999</v>
      </c>
      <c r="N63" s="4">
        <f t="shared" si="7"/>
        <v>2.2999999999999989</v>
      </c>
      <c r="O63" s="4">
        <f t="shared" si="7"/>
        <v>2.1999999999999988</v>
      </c>
      <c r="P63" s="4">
        <f t="shared" si="7"/>
        <v>2.0999999999999988</v>
      </c>
      <c r="Q63" s="4">
        <f t="shared" si="7"/>
        <v>1.9999999999999987</v>
      </c>
      <c r="R63" s="4">
        <f t="shared" si="7"/>
        <v>1.8999999999999986</v>
      </c>
      <c r="S63" s="4">
        <f t="shared" si="7"/>
        <v>1.7999999999999985</v>
      </c>
      <c r="T63" s="4">
        <f t="shared" si="7"/>
        <v>1.6999999999999984</v>
      </c>
      <c r="U63" s="4">
        <f t="shared" si="7"/>
        <v>1.5999999999999983</v>
      </c>
      <c r="V63" s="4">
        <f t="shared" si="7"/>
        <v>1.4999999999999982</v>
      </c>
      <c r="W63" s="4">
        <f t="shared" si="7"/>
        <v>1.3999999999999981</v>
      </c>
      <c r="X63" s="4">
        <f t="shared" si="7"/>
        <v>1.299999999999998</v>
      </c>
      <c r="Y63" s="4">
        <f t="shared" si="7"/>
        <v>1.199999999999998</v>
      </c>
      <c r="Z63" s="4">
        <f t="shared" si="7"/>
        <v>1.0999999999999979</v>
      </c>
      <c r="AA63" s="4">
        <f t="shared" si="7"/>
        <v>0.99999999999999789</v>
      </c>
      <c r="AB63" s="4">
        <f t="shared" si="7"/>
        <v>0.89999999999999791</v>
      </c>
      <c r="AC63" s="4">
        <f t="shared" si="7"/>
        <v>0.79999999999999793</v>
      </c>
      <c r="AD63" s="4">
        <f t="shared" si="7"/>
        <v>0.69999999999999796</v>
      </c>
      <c r="AE63" s="4">
        <f t="shared" si="7"/>
        <v>0.59999999999999798</v>
      </c>
      <c r="AF63" s="4">
        <f t="shared" si="7"/>
        <v>0.499999999999998</v>
      </c>
      <c r="AG63" s="4">
        <f t="shared" si="7"/>
        <v>0.39999999999999802</v>
      </c>
      <c r="AH63" s="4">
        <f t="shared" si="7"/>
        <v>0.29999999999999805</v>
      </c>
      <c r="AI63" s="4">
        <f t="shared" si="7"/>
        <v>0.19999999999999804</v>
      </c>
      <c r="AJ63" s="4">
        <f t="shared" si="7"/>
        <v>9.9999999999998035E-2</v>
      </c>
      <c r="AK63" s="4">
        <f t="shared" si="7"/>
        <v>-1.9706458687096529E-15</v>
      </c>
    </row>
    <row r="64" spans="3:37" outlineLevel="1" x14ac:dyDescent="0.25">
      <c r="C64" s="38">
        <v>3.5</v>
      </c>
      <c r="D64" s="4">
        <f t="shared" si="7"/>
        <v>3.4</v>
      </c>
      <c r="E64" s="4">
        <f t="shared" si="7"/>
        <v>3.3</v>
      </c>
      <c r="F64" s="4">
        <f t="shared" si="7"/>
        <v>3.1999999999999997</v>
      </c>
      <c r="G64" s="4">
        <f t="shared" si="7"/>
        <v>3.0999999999999996</v>
      </c>
      <c r="H64" s="4">
        <f t="shared" si="7"/>
        <v>2.9999999999999996</v>
      </c>
      <c r="I64" s="4">
        <f t="shared" si="7"/>
        <v>2.8999999999999995</v>
      </c>
      <c r="J64" s="4">
        <f t="shared" si="7"/>
        <v>2.7999999999999994</v>
      </c>
      <c r="K64" s="4">
        <f t="shared" si="7"/>
        <v>2.6999999999999993</v>
      </c>
      <c r="L64" s="4">
        <f t="shared" si="7"/>
        <v>2.5999999999999992</v>
      </c>
      <c r="M64" s="4">
        <f t="shared" si="7"/>
        <v>2.4999999999999991</v>
      </c>
      <c r="N64" s="4">
        <f t="shared" si="7"/>
        <v>2.399999999999999</v>
      </c>
      <c r="O64" s="4">
        <f t="shared" si="7"/>
        <v>2.2999999999999989</v>
      </c>
      <c r="P64" s="4">
        <f t="shared" si="7"/>
        <v>2.1999999999999988</v>
      </c>
      <c r="Q64" s="4">
        <f t="shared" si="7"/>
        <v>2.0999999999999988</v>
      </c>
      <c r="R64" s="4">
        <f t="shared" si="7"/>
        <v>1.9999999999999987</v>
      </c>
      <c r="S64" s="4">
        <f t="shared" si="7"/>
        <v>1.8999999999999986</v>
      </c>
      <c r="T64" s="4">
        <f t="shared" si="7"/>
        <v>1.7999999999999985</v>
      </c>
      <c r="U64" s="4">
        <f t="shared" ref="U64:AK64" si="8">(IF(T64&lt;=4.4,T64-$E$6,IF(AND(T64&gt;=4.5,T64&lt;=11.4),T64-$E$7,IF(AND(T64&gt;=11.5,T64&lt;=18.4),T64-$E$8,IF(AND(T64&gt;=18.5,T64&lt;=26.4),T64-$E$9,IF(AND(T64&gt;=26.4,T64&lt;=36),T64-$E$10,IF(T64&gt;=37,T64-$E$11)))))))</f>
        <v>1.6999999999999984</v>
      </c>
      <c r="V64" s="4">
        <f t="shared" si="8"/>
        <v>1.5999999999999983</v>
      </c>
      <c r="W64" s="4">
        <f t="shared" si="8"/>
        <v>1.4999999999999982</v>
      </c>
      <c r="X64" s="4">
        <f t="shared" si="8"/>
        <v>1.3999999999999981</v>
      </c>
      <c r="Y64" s="4">
        <f t="shared" si="8"/>
        <v>1.299999999999998</v>
      </c>
      <c r="Z64" s="4">
        <f t="shared" si="8"/>
        <v>1.199999999999998</v>
      </c>
      <c r="AA64" s="4">
        <f t="shared" si="8"/>
        <v>1.0999999999999979</v>
      </c>
      <c r="AB64" s="4">
        <f t="shared" si="8"/>
        <v>0.99999999999999789</v>
      </c>
      <c r="AC64" s="4">
        <f t="shared" si="8"/>
        <v>0.89999999999999791</v>
      </c>
      <c r="AD64" s="4">
        <f t="shared" si="8"/>
        <v>0.79999999999999793</v>
      </c>
      <c r="AE64" s="4">
        <f t="shared" si="8"/>
        <v>0.69999999999999796</v>
      </c>
      <c r="AF64" s="4">
        <f t="shared" si="8"/>
        <v>0.59999999999999798</v>
      </c>
      <c r="AG64" s="4">
        <f t="shared" si="8"/>
        <v>0.499999999999998</v>
      </c>
      <c r="AH64" s="4">
        <f t="shared" si="8"/>
        <v>0.39999999999999802</v>
      </c>
      <c r="AI64" s="4">
        <f t="shared" si="8"/>
        <v>0.29999999999999805</v>
      </c>
      <c r="AJ64" s="4">
        <f t="shared" si="8"/>
        <v>0.19999999999999804</v>
      </c>
      <c r="AK64" s="4">
        <f t="shared" si="8"/>
        <v>9.9999999999998035E-2</v>
      </c>
    </row>
    <row r="65" spans="3:37" outlineLevel="1" x14ac:dyDescent="0.25">
      <c r="C65" s="38">
        <v>3.6</v>
      </c>
      <c r="D65" s="4">
        <f t="shared" ref="D65:AK72" si="9">(IF(C65&lt;=4.4,C65-$E$6,IF(AND(C65&gt;=4.5,C65&lt;=11.4),C65-$E$7,IF(AND(C65&gt;=11.5,C65&lt;=18.4),C65-$E$8,IF(AND(C65&gt;=18.5,C65&lt;=26.4),C65-$E$9,IF(AND(C65&gt;=26.4,C65&lt;=36),C65-$E$10,IF(C65&gt;=37,C65-$E$11)))))))</f>
        <v>3.5</v>
      </c>
      <c r="E65" s="4">
        <f t="shared" si="9"/>
        <v>3.4</v>
      </c>
      <c r="F65" s="4">
        <f t="shared" si="9"/>
        <v>3.3</v>
      </c>
      <c r="G65" s="4">
        <f t="shared" si="9"/>
        <v>3.1999999999999997</v>
      </c>
      <c r="H65" s="4">
        <f t="shared" si="9"/>
        <v>3.0999999999999996</v>
      </c>
      <c r="I65" s="4">
        <f t="shared" si="9"/>
        <v>2.9999999999999996</v>
      </c>
      <c r="J65" s="4">
        <f t="shared" si="9"/>
        <v>2.8999999999999995</v>
      </c>
      <c r="K65" s="4">
        <f t="shared" si="9"/>
        <v>2.7999999999999994</v>
      </c>
      <c r="L65" s="4">
        <f t="shared" si="9"/>
        <v>2.6999999999999993</v>
      </c>
      <c r="M65" s="4">
        <f t="shared" si="9"/>
        <v>2.5999999999999992</v>
      </c>
      <c r="N65" s="4">
        <f t="shared" si="9"/>
        <v>2.4999999999999991</v>
      </c>
      <c r="O65" s="4">
        <f t="shared" si="9"/>
        <v>2.399999999999999</v>
      </c>
      <c r="P65" s="4">
        <f t="shared" si="9"/>
        <v>2.2999999999999989</v>
      </c>
      <c r="Q65" s="4">
        <f t="shared" si="9"/>
        <v>2.1999999999999988</v>
      </c>
      <c r="R65" s="4">
        <f t="shared" si="9"/>
        <v>2.0999999999999988</v>
      </c>
      <c r="S65" s="4">
        <f t="shared" si="9"/>
        <v>1.9999999999999987</v>
      </c>
      <c r="T65" s="4">
        <f t="shared" si="9"/>
        <v>1.8999999999999986</v>
      </c>
      <c r="U65" s="4">
        <f t="shared" si="9"/>
        <v>1.7999999999999985</v>
      </c>
      <c r="V65" s="4">
        <f t="shared" si="9"/>
        <v>1.6999999999999984</v>
      </c>
      <c r="W65" s="4">
        <f t="shared" si="9"/>
        <v>1.5999999999999983</v>
      </c>
      <c r="X65" s="4">
        <f t="shared" si="9"/>
        <v>1.4999999999999982</v>
      </c>
      <c r="Y65" s="4">
        <f t="shared" si="9"/>
        <v>1.3999999999999981</v>
      </c>
      <c r="Z65" s="4">
        <f t="shared" si="9"/>
        <v>1.299999999999998</v>
      </c>
      <c r="AA65" s="4">
        <f t="shared" si="9"/>
        <v>1.199999999999998</v>
      </c>
      <c r="AB65" s="4">
        <f t="shared" si="9"/>
        <v>1.0999999999999979</v>
      </c>
      <c r="AC65" s="4">
        <f t="shared" si="9"/>
        <v>0.99999999999999789</v>
      </c>
      <c r="AD65" s="4">
        <f t="shared" si="9"/>
        <v>0.89999999999999791</v>
      </c>
      <c r="AE65" s="4">
        <f t="shared" si="9"/>
        <v>0.79999999999999793</v>
      </c>
      <c r="AF65" s="4">
        <f t="shared" si="9"/>
        <v>0.69999999999999796</v>
      </c>
      <c r="AG65" s="4">
        <f t="shared" si="9"/>
        <v>0.59999999999999798</v>
      </c>
      <c r="AH65" s="4">
        <f t="shared" si="9"/>
        <v>0.499999999999998</v>
      </c>
      <c r="AI65" s="4">
        <f t="shared" si="9"/>
        <v>0.39999999999999802</v>
      </c>
      <c r="AJ65" s="4">
        <f t="shared" si="9"/>
        <v>0.29999999999999805</v>
      </c>
      <c r="AK65" s="4">
        <f t="shared" si="9"/>
        <v>0.19999999999999804</v>
      </c>
    </row>
    <row r="66" spans="3:37" outlineLevel="1" x14ac:dyDescent="0.25">
      <c r="C66" s="38">
        <v>3.7</v>
      </c>
      <c r="D66" s="4">
        <f t="shared" si="9"/>
        <v>3.6</v>
      </c>
      <c r="E66" s="4">
        <f t="shared" si="9"/>
        <v>3.5</v>
      </c>
      <c r="F66" s="4">
        <f t="shared" si="9"/>
        <v>3.4</v>
      </c>
      <c r="G66" s="4">
        <f t="shared" si="9"/>
        <v>3.3</v>
      </c>
      <c r="H66" s="4">
        <f t="shared" si="9"/>
        <v>3.1999999999999997</v>
      </c>
      <c r="I66" s="4">
        <f t="shared" si="9"/>
        <v>3.0999999999999996</v>
      </c>
      <c r="J66" s="4">
        <f t="shared" si="9"/>
        <v>2.9999999999999996</v>
      </c>
      <c r="K66" s="4">
        <f t="shared" si="9"/>
        <v>2.8999999999999995</v>
      </c>
      <c r="L66" s="4">
        <f t="shared" si="9"/>
        <v>2.7999999999999994</v>
      </c>
      <c r="M66" s="4">
        <f t="shared" si="9"/>
        <v>2.6999999999999993</v>
      </c>
      <c r="N66" s="4">
        <f t="shared" si="9"/>
        <v>2.5999999999999992</v>
      </c>
      <c r="O66" s="4">
        <f t="shared" si="9"/>
        <v>2.4999999999999991</v>
      </c>
      <c r="P66" s="4">
        <f t="shared" si="9"/>
        <v>2.399999999999999</v>
      </c>
      <c r="Q66" s="4">
        <f t="shared" si="9"/>
        <v>2.2999999999999989</v>
      </c>
      <c r="R66" s="4">
        <f t="shared" si="9"/>
        <v>2.1999999999999988</v>
      </c>
      <c r="S66" s="4">
        <f t="shared" si="9"/>
        <v>2.0999999999999988</v>
      </c>
      <c r="T66" s="4">
        <f t="shared" si="9"/>
        <v>1.9999999999999987</v>
      </c>
      <c r="U66" s="4">
        <f t="shared" si="9"/>
        <v>1.8999999999999986</v>
      </c>
      <c r="V66" s="4">
        <f t="shared" si="9"/>
        <v>1.7999999999999985</v>
      </c>
      <c r="W66" s="4">
        <f t="shared" si="9"/>
        <v>1.6999999999999984</v>
      </c>
      <c r="X66" s="4">
        <f t="shared" si="9"/>
        <v>1.5999999999999983</v>
      </c>
      <c r="Y66" s="4">
        <f t="shared" si="9"/>
        <v>1.4999999999999982</v>
      </c>
      <c r="Z66" s="4">
        <f t="shared" si="9"/>
        <v>1.3999999999999981</v>
      </c>
      <c r="AA66" s="4">
        <f t="shared" si="9"/>
        <v>1.299999999999998</v>
      </c>
      <c r="AB66" s="4">
        <f t="shared" si="9"/>
        <v>1.199999999999998</v>
      </c>
      <c r="AC66" s="4">
        <f t="shared" si="9"/>
        <v>1.0999999999999979</v>
      </c>
      <c r="AD66" s="4">
        <f t="shared" si="9"/>
        <v>0.99999999999999789</v>
      </c>
      <c r="AE66" s="4">
        <f t="shared" si="9"/>
        <v>0.89999999999999791</v>
      </c>
      <c r="AF66" s="4">
        <f t="shared" si="9"/>
        <v>0.79999999999999793</v>
      </c>
      <c r="AG66" s="4">
        <f t="shared" si="9"/>
        <v>0.69999999999999796</v>
      </c>
      <c r="AH66" s="4">
        <f t="shared" si="9"/>
        <v>0.59999999999999798</v>
      </c>
      <c r="AI66" s="4">
        <f t="shared" si="9"/>
        <v>0.499999999999998</v>
      </c>
      <c r="AJ66" s="4">
        <f t="shared" si="9"/>
        <v>0.39999999999999802</v>
      </c>
      <c r="AK66" s="4">
        <f t="shared" si="9"/>
        <v>0.29999999999999805</v>
      </c>
    </row>
    <row r="67" spans="3:37" outlineLevel="1" x14ac:dyDescent="0.25">
      <c r="C67" s="38">
        <v>3.8</v>
      </c>
      <c r="D67" s="4">
        <f t="shared" si="9"/>
        <v>3.6999999999999997</v>
      </c>
      <c r="E67" s="4">
        <f t="shared" si="9"/>
        <v>3.5999999999999996</v>
      </c>
      <c r="F67" s="4">
        <f t="shared" si="9"/>
        <v>3.4999999999999996</v>
      </c>
      <c r="G67" s="4">
        <f t="shared" si="9"/>
        <v>3.3999999999999995</v>
      </c>
      <c r="H67" s="4">
        <f t="shared" si="9"/>
        <v>3.2999999999999994</v>
      </c>
      <c r="I67" s="4">
        <f t="shared" si="9"/>
        <v>3.1999999999999993</v>
      </c>
      <c r="J67" s="4">
        <f t="shared" si="9"/>
        <v>3.0999999999999992</v>
      </c>
      <c r="K67" s="4">
        <f t="shared" si="9"/>
        <v>2.9999999999999991</v>
      </c>
      <c r="L67" s="4">
        <f t="shared" si="9"/>
        <v>2.899999999999999</v>
      </c>
      <c r="M67" s="4">
        <f t="shared" si="9"/>
        <v>2.7999999999999989</v>
      </c>
      <c r="N67" s="4">
        <f t="shared" si="9"/>
        <v>2.6999999999999988</v>
      </c>
      <c r="O67" s="4">
        <f t="shared" si="9"/>
        <v>2.5999999999999988</v>
      </c>
      <c r="P67" s="4">
        <f t="shared" si="9"/>
        <v>2.4999999999999987</v>
      </c>
      <c r="Q67" s="4">
        <f t="shared" si="9"/>
        <v>2.3999999999999986</v>
      </c>
      <c r="R67" s="4">
        <f t="shared" si="9"/>
        <v>2.2999999999999985</v>
      </c>
      <c r="S67" s="4">
        <f t="shared" si="9"/>
        <v>2.1999999999999984</v>
      </c>
      <c r="T67" s="4">
        <f t="shared" si="9"/>
        <v>2.0999999999999983</v>
      </c>
      <c r="U67" s="4">
        <f t="shared" si="9"/>
        <v>1.9999999999999982</v>
      </c>
      <c r="V67" s="4">
        <f t="shared" si="9"/>
        <v>1.8999999999999981</v>
      </c>
      <c r="W67" s="4">
        <f t="shared" si="9"/>
        <v>1.799999999999998</v>
      </c>
      <c r="X67" s="4">
        <f t="shared" si="9"/>
        <v>1.699999999999998</v>
      </c>
      <c r="Y67" s="4">
        <f t="shared" si="9"/>
        <v>1.5999999999999979</v>
      </c>
      <c r="Z67" s="4">
        <f t="shared" si="9"/>
        <v>1.4999999999999978</v>
      </c>
      <c r="AA67" s="4">
        <f t="shared" si="9"/>
        <v>1.3999999999999977</v>
      </c>
      <c r="AB67" s="4">
        <f t="shared" si="9"/>
        <v>1.2999999999999976</v>
      </c>
      <c r="AC67" s="4">
        <f t="shared" si="9"/>
        <v>1.1999999999999975</v>
      </c>
      <c r="AD67" s="4">
        <f t="shared" si="9"/>
        <v>1.0999999999999974</v>
      </c>
      <c r="AE67" s="4">
        <f t="shared" si="9"/>
        <v>0.99999999999999745</v>
      </c>
      <c r="AF67" s="4">
        <f t="shared" si="9"/>
        <v>0.89999999999999747</v>
      </c>
      <c r="AG67" s="4">
        <f t="shared" si="9"/>
        <v>0.79999999999999749</v>
      </c>
      <c r="AH67" s="4">
        <f t="shared" si="9"/>
        <v>0.69999999999999751</v>
      </c>
      <c r="AI67" s="4">
        <f t="shared" si="9"/>
        <v>0.59999999999999754</v>
      </c>
      <c r="AJ67" s="4">
        <f t="shared" si="9"/>
        <v>0.49999999999999756</v>
      </c>
      <c r="AK67" s="4">
        <f t="shared" si="9"/>
        <v>0.39999999999999758</v>
      </c>
    </row>
    <row r="68" spans="3:37" outlineLevel="1" x14ac:dyDescent="0.25">
      <c r="C68" s="38">
        <v>3.9</v>
      </c>
      <c r="D68" s="4">
        <f t="shared" si="9"/>
        <v>3.8</v>
      </c>
      <c r="E68" s="4">
        <f t="shared" si="9"/>
        <v>3.6999999999999997</v>
      </c>
      <c r="F68" s="4">
        <f t="shared" si="9"/>
        <v>3.5999999999999996</v>
      </c>
      <c r="G68" s="4">
        <f t="shared" si="9"/>
        <v>3.4999999999999996</v>
      </c>
      <c r="H68" s="4">
        <f t="shared" si="9"/>
        <v>3.3999999999999995</v>
      </c>
      <c r="I68" s="4">
        <f t="shared" si="9"/>
        <v>3.2999999999999994</v>
      </c>
      <c r="J68" s="4">
        <f t="shared" si="9"/>
        <v>3.1999999999999993</v>
      </c>
      <c r="K68" s="4">
        <f t="shared" si="9"/>
        <v>3.0999999999999992</v>
      </c>
      <c r="L68" s="4">
        <f t="shared" si="9"/>
        <v>2.9999999999999991</v>
      </c>
      <c r="M68" s="4">
        <f t="shared" si="9"/>
        <v>2.899999999999999</v>
      </c>
      <c r="N68" s="4">
        <f t="shared" si="9"/>
        <v>2.7999999999999989</v>
      </c>
      <c r="O68" s="4">
        <f t="shared" si="9"/>
        <v>2.6999999999999988</v>
      </c>
      <c r="P68" s="4">
        <f t="shared" si="9"/>
        <v>2.5999999999999988</v>
      </c>
      <c r="Q68" s="4">
        <f t="shared" si="9"/>
        <v>2.4999999999999987</v>
      </c>
      <c r="R68" s="4">
        <f t="shared" si="9"/>
        <v>2.3999999999999986</v>
      </c>
      <c r="S68" s="4">
        <f t="shared" si="9"/>
        <v>2.2999999999999985</v>
      </c>
      <c r="T68" s="4">
        <f t="shared" si="9"/>
        <v>2.1999999999999984</v>
      </c>
      <c r="U68" s="4">
        <f t="shared" si="9"/>
        <v>2.0999999999999983</v>
      </c>
      <c r="V68" s="4">
        <f t="shared" si="9"/>
        <v>1.9999999999999982</v>
      </c>
      <c r="W68" s="4">
        <f t="shared" si="9"/>
        <v>1.8999999999999981</v>
      </c>
      <c r="X68" s="4">
        <f t="shared" si="9"/>
        <v>1.799999999999998</v>
      </c>
      <c r="Y68" s="4">
        <f t="shared" si="9"/>
        <v>1.699999999999998</v>
      </c>
      <c r="Z68" s="4">
        <f t="shared" si="9"/>
        <v>1.5999999999999979</v>
      </c>
      <c r="AA68" s="4">
        <f t="shared" si="9"/>
        <v>1.4999999999999978</v>
      </c>
      <c r="AB68" s="4">
        <f t="shared" si="9"/>
        <v>1.3999999999999977</v>
      </c>
      <c r="AC68" s="4">
        <f t="shared" si="9"/>
        <v>1.2999999999999976</v>
      </c>
      <c r="AD68" s="4">
        <f t="shared" si="9"/>
        <v>1.1999999999999975</v>
      </c>
      <c r="AE68" s="4">
        <f t="shared" si="9"/>
        <v>1.0999999999999974</v>
      </c>
      <c r="AF68" s="4">
        <f t="shared" si="9"/>
        <v>0.99999999999999745</v>
      </c>
      <c r="AG68" s="4">
        <f t="shared" si="9"/>
        <v>0.89999999999999747</v>
      </c>
      <c r="AH68" s="4">
        <f t="shared" si="9"/>
        <v>0.79999999999999749</v>
      </c>
      <c r="AI68" s="4">
        <f t="shared" si="9"/>
        <v>0.69999999999999751</v>
      </c>
      <c r="AJ68" s="4">
        <f t="shared" si="9"/>
        <v>0.59999999999999754</v>
      </c>
      <c r="AK68" s="4">
        <f t="shared" si="9"/>
        <v>0.49999999999999756</v>
      </c>
    </row>
    <row r="69" spans="3:37" outlineLevel="1" x14ac:dyDescent="0.25">
      <c r="C69" s="38">
        <v>4</v>
      </c>
      <c r="D69" s="4">
        <f t="shared" si="9"/>
        <v>3.9</v>
      </c>
      <c r="E69" s="4">
        <f t="shared" si="9"/>
        <v>3.8</v>
      </c>
      <c r="F69" s="4">
        <f t="shared" si="9"/>
        <v>3.6999999999999997</v>
      </c>
      <c r="G69" s="4">
        <f t="shared" si="9"/>
        <v>3.5999999999999996</v>
      </c>
      <c r="H69" s="4">
        <f t="shared" si="9"/>
        <v>3.4999999999999996</v>
      </c>
      <c r="I69" s="4">
        <f t="shared" si="9"/>
        <v>3.3999999999999995</v>
      </c>
      <c r="J69" s="4">
        <f t="shared" si="9"/>
        <v>3.2999999999999994</v>
      </c>
      <c r="K69" s="4">
        <f t="shared" si="9"/>
        <v>3.1999999999999993</v>
      </c>
      <c r="L69" s="4">
        <f t="shared" si="9"/>
        <v>3.0999999999999992</v>
      </c>
      <c r="M69" s="4">
        <f t="shared" si="9"/>
        <v>2.9999999999999991</v>
      </c>
      <c r="N69" s="4">
        <f t="shared" si="9"/>
        <v>2.899999999999999</v>
      </c>
      <c r="O69" s="4">
        <f t="shared" si="9"/>
        <v>2.7999999999999989</v>
      </c>
      <c r="P69" s="4">
        <f t="shared" si="9"/>
        <v>2.6999999999999988</v>
      </c>
      <c r="Q69" s="4">
        <f t="shared" si="9"/>
        <v>2.5999999999999988</v>
      </c>
      <c r="R69" s="4">
        <f t="shared" si="9"/>
        <v>2.4999999999999987</v>
      </c>
      <c r="S69" s="4">
        <f t="shared" si="9"/>
        <v>2.3999999999999986</v>
      </c>
      <c r="T69" s="4">
        <f t="shared" si="9"/>
        <v>2.2999999999999985</v>
      </c>
      <c r="U69" s="4">
        <f t="shared" si="9"/>
        <v>2.1999999999999984</v>
      </c>
      <c r="V69" s="4">
        <f t="shared" si="9"/>
        <v>2.0999999999999983</v>
      </c>
      <c r="W69" s="4">
        <f t="shared" si="9"/>
        <v>1.9999999999999982</v>
      </c>
      <c r="X69" s="4">
        <f t="shared" si="9"/>
        <v>1.8999999999999981</v>
      </c>
      <c r="Y69" s="4">
        <f t="shared" si="9"/>
        <v>1.799999999999998</v>
      </c>
      <c r="Z69" s="4">
        <f t="shared" si="9"/>
        <v>1.699999999999998</v>
      </c>
      <c r="AA69" s="4">
        <f t="shared" si="9"/>
        <v>1.5999999999999979</v>
      </c>
      <c r="AB69" s="4">
        <f t="shared" si="9"/>
        <v>1.4999999999999978</v>
      </c>
      <c r="AC69" s="4">
        <f t="shared" si="9"/>
        <v>1.3999999999999977</v>
      </c>
      <c r="AD69" s="4">
        <f t="shared" si="9"/>
        <v>1.2999999999999976</v>
      </c>
      <c r="AE69" s="4">
        <f t="shared" si="9"/>
        <v>1.1999999999999975</v>
      </c>
      <c r="AF69" s="4">
        <f t="shared" si="9"/>
        <v>1.0999999999999974</v>
      </c>
      <c r="AG69" s="4">
        <f t="shared" si="9"/>
        <v>0.99999999999999745</v>
      </c>
      <c r="AH69" s="4">
        <f t="shared" si="9"/>
        <v>0.89999999999999747</v>
      </c>
      <c r="AI69" s="4">
        <f t="shared" si="9"/>
        <v>0.79999999999999749</v>
      </c>
      <c r="AJ69" s="4">
        <f t="shared" si="9"/>
        <v>0.69999999999999751</v>
      </c>
      <c r="AK69" s="4">
        <f t="shared" si="9"/>
        <v>0.59999999999999754</v>
      </c>
    </row>
    <row r="70" spans="3:37" outlineLevel="1" x14ac:dyDescent="0.25">
      <c r="C70" s="38">
        <v>4.0999999999999996</v>
      </c>
      <c r="D70" s="4">
        <f t="shared" si="9"/>
        <v>3.9999999999999996</v>
      </c>
      <c r="E70" s="4">
        <f t="shared" si="9"/>
        <v>3.8999999999999995</v>
      </c>
      <c r="F70" s="4">
        <f t="shared" si="9"/>
        <v>3.7999999999999994</v>
      </c>
      <c r="G70" s="4">
        <f t="shared" si="9"/>
        <v>3.6999999999999993</v>
      </c>
      <c r="H70" s="4">
        <f t="shared" si="9"/>
        <v>3.5999999999999992</v>
      </c>
      <c r="I70" s="4">
        <f t="shared" si="9"/>
        <v>3.4999999999999991</v>
      </c>
      <c r="J70" s="4">
        <f t="shared" si="9"/>
        <v>3.399999999999999</v>
      </c>
      <c r="K70" s="4">
        <f t="shared" si="9"/>
        <v>3.2999999999999989</v>
      </c>
      <c r="L70" s="4">
        <f t="shared" si="9"/>
        <v>3.1999999999999988</v>
      </c>
      <c r="M70" s="4">
        <f t="shared" si="9"/>
        <v>3.0999999999999988</v>
      </c>
      <c r="N70" s="4">
        <f t="shared" si="9"/>
        <v>2.9999999999999987</v>
      </c>
      <c r="O70" s="4">
        <f t="shared" si="9"/>
        <v>2.8999999999999986</v>
      </c>
      <c r="P70" s="4">
        <f t="shared" si="9"/>
        <v>2.7999999999999985</v>
      </c>
      <c r="Q70" s="4">
        <f t="shared" si="9"/>
        <v>2.6999999999999984</v>
      </c>
      <c r="R70" s="4">
        <f t="shared" si="9"/>
        <v>2.5999999999999983</v>
      </c>
      <c r="S70" s="4">
        <f t="shared" si="9"/>
        <v>2.4999999999999982</v>
      </c>
      <c r="T70" s="4">
        <f t="shared" si="9"/>
        <v>2.3999999999999981</v>
      </c>
      <c r="U70" s="4">
        <f t="shared" si="9"/>
        <v>2.299999999999998</v>
      </c>
      <c r="V70" s="4">
        <f t="shared" si="9"/>
        <v>2.199999999999998</v>
      </c>
      <c r="W70" s="4">
        <f t="shared" si="9"/>
        <v>2.0999999999999979</v>
      </c>
      <c r="X70" s="4">
        <f t="shared" si="9"/>
        <v>1.9999999999999978</v>
      </c>
      <c r="Y70" s="4">
        <f t="shared" si="9"/>
        <v>1.8999999999999977</v>
      </c>
      <c r="Z70" s="4">
        <f t="shared" si="9"/>
        <v>1.7999999999999976</v>
      </c>
      <c r="AA70" s="4">
        <f t="shared" si="9"/>
        <v>1.6999999999999975</v>
      </c>
      <c r="AB70" s="4">
        <f t="shared" si="9"/>
        <v>1.5999999999999974</v>
      </c>
      <c r="AC70" s="4">
        <f t="shared" si="9"/>
        <v>1.4999999999999973</v>
      </c>
      <c r="AD70" s="4">
        <f t="shared" si="9"/>
        <v>1.3999999999999972</v>
      </c>
      <c r="AE70" s="4">
        <f t="shared" si="9"/>
        <v>1.2999999999999972</v>
      </c>
      <c r="AF70" s="4">
        <f t="shared" si="9"/>
        <v>1.1999999999999971</v>
      </c>
      <c r="AG70" s="4">
        <f t="shared" si="9"/>
        <v>1.099999999999997</v>
      </c>
      <c r="AH70" s="4">
        <f t="shared" si="9"/>
        <v>0.999999999999997</v>
      </c>
      <c r="AI70" s="4">
        <f t="shared" si="9"/>
        <v>0.89999999999999702</v>
      </c>
      <c r="AJ70" s="4">
        <f t="shared" si="9"/>
        <v>0.79999999999999705</v>
      </c>
      <c r="AK70" s="4">
        <f t="shared" si="9"/>
        <v>0.69999999999999707</v>
      </c>
    </row>
    <row r="71" spans="3:37" outlineLevel="1" x14ac:dyDescent="0.25">
      <c r="C71" s="38">
        <v>4.2</v>
      </c>
      <c r="D71" s="4">
        <f t="shared" si="9"/>
        <v>4.1000000000000005</v>
      </c>
      <c r="E71" s="4">
        <f t="shared" si="9"/>
        <v>4.0000000000000009</v>
      </c>
      <c r="F71" s="4">
        <f t="shared" si="9"/>
        <v>3.9000000000000008</v>
      </c>
      <c r="G71" s="4">
        <f t="shared" si="9"/>
        <v>3.8000000000000007</v>
      </c>
      <c r="H71" s="4">
        <f t="shared" si="9"/>
        <v>3.7000000000000006</v>
      </c>
      <c r="I71" s="4">
        <f t="shared" si="9"/>
        <v>3.6000000000000005</v>
      </c>
      <c r="J71" s="4">
        <f t="shared" si="9"/>
        <v>3.5000000000000004</v>
      </c>
      <c r="K71" s="4">
        <f t="shared" si="9"/>
        <v>3.4000000000000004</v>
      </c>
      <c r="L71" s="4">
        <f t="shared" si="9"/>
        <v>3.3000000000000003</v>
      </c>
      <c r="M71" s="4">
        <f t="shared" si="9"/>
        <v>3.2</v>
      </c>
      <c r="N71" s="4">
        <f t="shared" si="9"/>
        <v>3.1</v>
      </c>
      <c r="O71" s="4">
        <f t="shared" si="9"/>
        <v>3</v>
      </c>
      <c r="P71" s="4">
        <f t="shared" si="9"/>
        <v>2.9</v>
      </c>
      <c r="Q71" s="4">
        <f t="shared" si="9"/>
        <v>2.8</v>
      </c>
      <c r="R71" s="4">
        <f t="shared" si="9"/>
        <v>2.6999999999999997</v>
      </c>
      <c r="S71" s="4">
        <f t="shared" si="9"/>
        <v>2.5999999999999996</v>
      </c>
      <c r="T71" s="4">
        <f t="shared" si="9"/>
        <v>2.4999999999999996</v>
      </c>
      <c r="U71" s="4">
        <f t="shared" si="9"/>
        <v>2.3999999999999995</v>
      </c>
      <c r="V71" s="4">
        <f t="shared" si="9"/>
        <v>2.2999999999999994</v>
      </c>
      <c r="W71" s="4">
        <f t="shared" si="9"/>
        <v>2.1999999999999993</v>
      </c>
      <c r="X71" s="4">
        <f t="shared" si="9"/>
        <v>2.0999999999999992</v>
      </c>
      <c r="Y71" s="4">
        <f t="shared" si="9"/>
        <v>1.9999999999999991</v>
      </c>
      <c r="Z71" s="4">
        <f t="shared" si="9"/>
        <v>1.899999999999999</v>
      </c>
      <c r="AA71" s="4">
        <f t="shared" si="9"/>
        <v>1.7999999999999989</v>
      </c>
      <c r="AB71" s="4">
        <f t="shared" si="9"/>
        <v>1.6999999999999988</v>
      </c>
      <c r="AC71" s="4">
        <f t="shared" si="9"/>
        <v>1.5999999999999988</v>
      </c>
      <c r="AD71" s="4">
        <f t="shared" si="9"/>
        <v>1.4999999999999987</v>
      </c>
      <c r="AE71" s="4">
        <f t="shared" si="9"/>
        <v>1.3999999999999986</v>
      </c>
      <c r="AF71" s="4">
        <f t="shared" si="9"/>
        <v>1.2999999999999985</v>
      </c>
      <c r="AG71" s="4">
        <f t="shared" si="9"/>
        <v>1.1999999999999984</v>
      </c>
      <c r="AH71" s="4">
        <f t="shared" si="9"/>
        <v>1.0999999999999983</v>
      </c>
      <c r="AI71" s="4">
        <f t="shared" si="9"/>
        <v>0.99999999999999833</v>
      </c>
      <c r="AJ71" s="4">
        <f t="shared" si="9"/>
        <v>0.89999999999999836</v>
      </c>
      <c r="AK71" s="4">
        <f t="shared" si="9"/>
        <v>0.79999999999999838</v>
      </c>
    </row>
    <row r="72" spans="3:37" outlineLevel="1" x14ac:dyDescent="0.25">
      <c r="C72" s="38">
        <v>4.3</v>
      </c>
      <c r="D72" s="4">
        <f t="shared" si="9"/>
        <v>4.2</v>
      </c>
      <c r="E72" s="4">
        <f t="shared" si="9"/>
        <v>4.1000000000000005</v>
      </c>
      <c r="F72" s="4">
        <f t="shared" si="9"/>
        <v>4.0000000000000009</v>
      </c>
      <c r="G72" s="4">
        <f t="shared" si="9"/>
        <v>3.9000000000000008</v>
      </c>
      <c r="H72" s="4">
        <f t="shared" si="9"/>
        <v>3.8000000000000007</v>
      </c>
      <c r="I72" s="4">
        <f t="shared" si="9"/>
        <v>3.7000000000000006</v>
      </c>
      <c r="J72" s="4">
        <f t="shared" si="9"/>
        <v>3.6000000000000005</v>
      </c>
      <c r="K72" s="4">
        <f t="shared" si="9"/>
        <v>3.5000000000000004</v>
      </c>
      <c r="L72" s="4">
        <f t="shared" si="9"/>
        <v>3.4000000000000004</v>
      </c>
      <c r="M72" s="4">
        <f t="shared" si="9"/>
        <v>3.3000000000000003</v>
      </c>
      <c r="N72" s="4">
        <f t="shared" si="9"/>
        <v>3.2</v>
      </c>
      <c r="O72" s="4">
        <f t="shared" si="9"/>
        <v>3.1</v>
      </c>
      <c r="P72" s="4">
        <f t="shared" si="9"/>
        <v>3</v>
      </c>
      <c r="Q72" s="4">
        <f t="shared" si="9"/>
        <v>2.9</v>
      </c>
      <c r="R72" s="4">
        <f t="shared" si="9"/>
        <v>2.8</v>
      </c>
      <c r="S72" s="4">
        <f t="shared" si="9"/>
        <v>2.6999999999999997</v>
      </c>
      <c r="T72" s="4">
        <f t="shared" si="9"/>
        <v>2.5999999999999996</v>
      </c>
      <c r="U72" s="4">
        <f t="shared" ref="U72:AK72" si="10">(IF(T72&lt;=4.4,T72-$E$6,IF(AND(T72&gt;=4.5,T72&lt;=11.4),T72-$E$7,IF(AND(T72&gt;=11.5,T72&lt;=18.4),T72-$E$8,IF(AND(T72&gt;=18.5,T72&lt;=26.4),T72-$E$9,IF(AND(T72&gt;=26.4,T72&lt;=36),T72-$E$10,IF(T72&gt;=37,T72-$E$11)))))))</f>
        <v>2.4999999999999996</v>
      </c>
      <c r="V72" s="4">
        <f t="shared" si="10"/>
        <v>2.3999999999999995</v>
      </c>
      <c r="W72" s="4">
        <f t="shared" si="10"/>
        <v>2.2999999999999994</v>
      </c>
      <c r="X72" s="4">
        <f t="shared" si="10"/>
        <v>2.1999999999999993</v>
      </c>
      <c r="Y72" s="4">
        <f t="shared" si="10"/>
        <v>2.0999999999999992</v>
      </c>
      <c r="Z72" s="4">
        <f t="shared" si="10"/>
        <v>1.9999999999999991</v>
      </c>
      <c r="AA72" s="4">
        <f t="shared" si="10"/>
        <v>1.899999999999999</v>
      </c>
      <c r="AB72" s="4">
        <f t="shared" si="10"/>
        <v>1.7999999999999989</v>
      </c>
      <c r="AC72" s="4">
        <f t="shared" si="10"/>
        <v>1.6999999999999988</v>
      </c>
      <c r="AD72" s="4">
        <f t="shared" si="10"/>
        <v>1.5999999999999988</v>
      </c>
      <c r="AE72" s="4">
        <f t="shared" si="10"/>
        <v>1.4999999999999987</v>
      </c>
      <c r="AF72" s="4">
        <f t="shared" si="10"/>
        <v>1.3999999999999986</v>
      </c>
      <c r="AG72" s="4">
        <f t="shared" si="10"/>
        <v>1.2999999999999985</v>
      </c>
      <c r="AH72" s="4">
        <f t="shared" si="10"/>
        <v>1.1999999999999984</v>
      </c>
      <c r="AI72" s="4">
        <f t="shared" si="10"/>
        <v>1.0999999999999983</v>
      </c>
      <c r="AJ72" s="4">
        <f t="shared" si="10"/>
        <v>0.99999999999999833</v>
      </c>
      <c r="AK72" s="4">
        <f t="shared" si="10"/>
        <v>0.89999999999999836</v>
      </c>
    </row>
    <row r="73" spans="3:37" outlineLevel="1" x14ac:dyDescent="0.25">
      <c r="C73" s="38">
        <v>4.4000000000000004</v>
      </c>
      <c r="D73" s="4">
        <f t="shared" ref="D73:AK80" si="11">(IF(C73&lt;=4.4,C73-$E$6,IF(AND(C73&gt;=4.5,C73&lt;=11.4),C73-$E$7,IF(AND(C73&gt;=11.5,C73&lt;=18.4),C73-$E$8,IF(AND(C73&gt;=18.5,C73&lt;=26.4),C73-$E$9,IF(AND(C73&gt;=26.4,C73&lt;=36),C73-$E$10,IF(C73&gt;=37,C73-$E$11)))))))</f>
        <v>4.3000000000000007</v>
      </c>
      <c r="E73" s="4">
        <f t="shared" si="11"/>
        <v>4.2000000000000011</v>
      </c>
      <c r="F73" s="4">
        <f t="shared" si="11"/>
        <v>4.1000000000000014</v>
      </c>
      <c r="G73" s="4">
        <f t="shared" si="11"/>
        <v>4.0000000000000018</v>
      </c>
      <c r="H73" s="4">
        <f t="shared" si="11"/>
        <v>3.9000000000000017</v>
      </c>
      <c r="I73" s="4">
        <f t="shared" si="11"/>
        <v>3.8000000000000016</v>
      </c>
      <c r="J73" s="4">
        <f t="shared" si="11"/>
        <v>3.7000000000000015</v>
      </c>
      <c r="K73" s="4">
        <f t="shared" si="11"/>
        <v>3.6000000000000014</v>
      </c>
      <c r="L73" s="4">
        <f t="shared" si="11"/>
        <v>3.5000000000000013</v>
      </c>
      <c r="M73" s="4">
        <f t="shared" si="11"/>
        <v>3.4000000000000012</v>
      </c>
      <c r="N73" s="4">
        <f t="shared" si="11"/>
        <v>3.3000000000000012</v>
      </c>
      <c r="O73" s="4">
        <f t="shared" si="11"/>
        <v>3.2000000000000011</v>
      </c>
      <c r="P73" s="4">
        <f t="shared" si="11"/>
        <v>3.100000000000001</v>
      </c>
      <c r="Q73" s="4">
        <f t="shared" si="11"/>
        <v>3.0000000000000009</v>
      </c>
      <c r="R73" s="4">
        <f t="shared" si="11"/>
        <v>2.9000000000000008</v>
      </c>
      <c r="S73" s="4">
        <f t="shared" si="11"/>
        <v>2.8000000000000007</v>
      </c>
      <c r="T73" s="4">
        <f t="shared" si="11"/>
        <v>2.7000000000000006</v>
      </c>
      <c r="U73" s="4">
        <f t="shared" si="11"/>
        <v>2.6000000000000005</v>
      </c>
      <c r="V73" s="4">
        <f t="shared" si="11"/>
        <v>2.5000000000000004</v>
      </c>
      <c r="W73" s="4">
        <f t="shared" si="11"/>
        <v>2.4000000000000004</v>
      </c>
      <c r="X73" s="4">
        <f t="shared" si="11"/>
        <v>2.3000000000000003</v>
      </c>
      <c r="Y73" s="4">
        <f t="shared" si="11"/>
        <v>2.2000000000000002</v>
      </c>
      <c r="Z73" s="4">
        <f t="shared" si="11"/>
        <v>2.1</v>
      </c>
      <c r="AA73" s="4">
        <f t="shared" si="11"/>
        <v>2</v>
      </c>
      <c r="AB73" s="4">
        <f t="shared" si="11"/>
        <v>1.9</v>
      </c>
      <c r="AC73" s="4">
        <f t="shared" si="11"/>
        <v>1.7999999999999998</v>
      </c>
      <c r="AD73" s="4">
        <f t="shared" si="11"/>
        <v>1.6999999999999997</v>
      </c>
      <c r="AE73" s="4">
        <f t="shared" si="11"/>
        <v>1.5999999999999996</v>
      </c>
      <c r="AF73" s="4">
        <f t="shared" si="11"/>
        <v>1.4999999999999996</v>
      </c>
      <c r="AG73" s="4">
        <f t="shared" si="11"/>
        <v>1.3999999999999995</v>
      </c>
      <c r="AH73" s="4">
        <f t="shared" si="11"/>
        <v>1.2999999999999994</v>
      </c>
      <c r="AI73" s="4">
        <f t="shared" si="11"/>
        <v>1.1999999999999993</v>
      </c>
      <c r="AJ73" s="4">
        <f t="shared" si="11"/>
        <v>1.0999999999999992</v>
      </c>
      <c r="AK73" s="4">
        <f t="shared" si="11"/>
        <v>0.99999999999999922</v>
      </c>
    </row>
    <row r="74" spans="3:37" outlineLevel="1" x14ac:dyDescent="0.25">
      <c r="C74" s="38">
        <v>4.5</v>
      </c>
      <c r="D74" s="4">
        <f t="shared" si="11"/>
        <v>4.3</v>
      </c>
      <c r="E74" s="4">
        <f t="shared" si="11"/>
        <v>4.2</v>
      </c>
      <c r="F74" s="4">
        <f t="shared" si="11"/>
        <v>4.1000000000000005</v>
      </c>
      <c r="G74" s="4">
        <f t="shared" si="11"/>
        <v>4.0000000000000009</v>
      </c>
      <c r="H74" s="4">
        <f t="shared" si="11"/>
        <v>3.9000000000000008</v>
      </c>
      <c r="I74" s="4">
        <f t="shared" si="11"/>
        <v>3.8000000000000007</v>
      </c>
      <c r="J74" s="4">
        <f t="shared" si="11"/>
        <v>3.7000000000000006</v>
      </c>
      <c r="K74" s="4">
        <f t="shared" si="11"/>
        <v>3.6000000000000005</v>
      </c>
      <c r="L74" s="4">
        <f t="shared" si="11"/>
        <v>3.5000000000000004</v>
      </c>
      <c r="M74" s="4">
        <f t="shared" si="11"/>
        <v>3.4000000000000004</v>
      </c>
      <c r="N74" s="4">
        <f t="shared" si="11"/>
        <v>3.3000000000000003</v>
      </c>
      <c r="O74" s="4">
        <f t="shared" si="11"/>
        <v>3.2</v>
      </c>
      <c r="P74" s="4">
        <f t="shared" si="11"/>
        <v>3.1</v>
      </c>
      <c r="Q74" s="4">
        <f t="shared" si="11"/>
        <v>3</v>
      </c>
      <c r="R74" s="4">
        <f t="shared" si="11"/>
        <v>2.9</v>
      </c>
      <c r="S74" s="4">
        <f t="shared" si="11"/>
        <v>2.8</v>
      </c>
      <c r="T74" s="4">
        <f t="shared" si="11"/>
        <v>2.6999999999999997</v>
      </c>
      <c r="U74" s="4">
        <f t="shared" si="11"/>
        <v>2.5999999999999996</v>
      </c>
      <c r="V74" s="4">
        <f t="shared" si="11"/>
        <v>2.4999999999999996</v>
      </c>
      <c r="W74" s="4">
        <f t="shared" si="11"/>
        <v>2.3999999999999995</v>
      </c>
      <c r="X74" s="4">
        <f t="shared" si="11"/>
        <v>2.2999999999999994</v>
      </c>
      <c r="Y74" s="4">
        <f t="shared" si="11"/>
        <v>2.1999999999999993</v>
      </c>
      <c r="Z74" s="4">
        <f t="shared" si="11"/>
        <v>2.0999999999999992</v>
      </c>
      <c r="AA74" s="4">
        <f t="shared" si="11"/>
        <v>1.9999999999999991</v>
      </c>
      <c r="AB74" s="4">
        <f t="shared" si="11"/>
        <v>1.899999999999999</v>
      </c>
      <c r="AC74" s="4">
        <f t="shared" si="11"/>
        <v>1.7999999999999989</v>
      </c>
      <c r="AD74" s="4">
        <f t="shared" si="11"/>
        <v>1.6999999999999988</v>
      </c>
      <c r="AE74" s="4">
        <f t="shared" si="11"/>
        <v>1.5999999999999988</v>
      </c>
      <c r="AF74" s="4">
        <f t="shared" si="11"/>
        <v>1.4999999999999987</v>
      </c>
      <c r="AG74" s="4">
        <f t="shared" si="11"/>
        <v>1.3999999999999986</v>
      </c>
      <c r="AH74" s="4">
        <f t="shared" si="11"/>
        <v>1.2999999999999985</v>
      </c>
      <c r="AI74" s="4">
        <f t="shared" si="11"/>
        <v>1.1999999999999984</v>
      </c>
      <c r="AJ74" s="4">
        <f t="shared" si="11"/>
        <v>1.0999999999999983</v>
      </c>
      <c r="AK74" s="4">
        <f t="shared" si="11"/>
        <v>0.99999999999999833</v>
      </c>
    </row>
    <row r="75" spans="3:37" outlineLevel="1" x14ac:dyDescent="0.25">
      <c r="C75" s="38">
        <v>4.5999999999999996</v>
      </c>
      <c r="D75" s="4">
        <f t="shared" si="11"/>
        <v>4.3999999999999995</v>
      </c>
      <c r="E75" s="4">
        <f t="shared" si="11"/>
        <v>4.3</v>
      </c>
      <c r="F75" s="4">
        <f t="shared" si="11"/>
        <v>4.2</v>
      </c>
      <c r="G75" s="4">
        <f t="shared" si="11"/>
        <v>4.1000000000000005</v>
      </c>
      <c r="H75" s="4">
        <f t="shared" si="11"/>
        <v>4.0000000000000009</v>
      </c>
      <c r="I75" s="4">
        <f t="shared" si="11"/>
        <v>3.9000000000000008</v>
      </c>
      <c r="J75" s="4">
        <f t="shared" si="11"/>
        <v>3.8000000000000007</v>
      </c>
      <c r="K75" s="4">
        <f t="shared" si="11"/>
        <v>3.7000000000000006</v>
      </c>
      <c r="L75" s="4">
        <f t="shared" si="11"/>
        <v>3.6000000000000005</v>
      </c>
      <c r="M75" s="4">
        <f t="shared" si="11"/>
        <v>3.5000000000000004</v>
      </c>
      <c r="N75" s="4">
        <f t="shared" si="11"/>
        <v>3.4000000000000004</v>
      </c>
      <c r="O75" s="4">
        <f t="shared" si="11"/>
        <v>3.3000000000000003</v>
      </c>
      <c r="P75" s="4">
        <f t="shared" si="11"/>
        <v>3.2</v>
      </c>
      <c r="Q75" s="4">
        <f t="shared" si="11"/>
        <v>3.1</v>
      </c>
      <c r="R75" s="4">
        <f t="shared" si="11"/>
        <v>3</v>
      </c>
      <c r="S75" s="4">
        <f t="shared" si="11"/>
        <v>2.9</v>
      </c>
      <c r="T75" s="4">
        <f t="shared" si="11"/>
        <v>2.8</v>
      </c>
      <c r="U75" s="4">
        <f t="shared" si="11"/>
        <v>2.6999999999999997</v>
      </c>
      <c r="V75" s="4">
        <f t="shared" si="11"/>
        <v>2.5999999999999996</v>
      </c>
      <c r="W75" s="4">
        <f t="shared" si="11"/>
        <v>2.4999999999999996</v>
      </c>
      <c r="X75" s="4">
        <f t="shared" si="11"/>
        <v>2.3999999999999995</v>
      </c>
      <c r="Y75" s="4">
        <f t="shared" si="11"/>
        <v>2.2999999999999994</v>
      </c>
      <c r="Z75" s="4">
        <f t="shared" si="11"/>
        <v>2.1999999999999993</v>
      </c>
      <c r="AA75" s="4">
        <f t="shared" si="11"/>
        <v>2.0999999999999992</v>
      </c>
      <c r="AB75" s="4">
        <f t="shared" si="11"/>
        <v>1.9999999999999991</v>
      </c>
      <c r="AC75" s="4">
        <f t="shared" si="11"/>
        <v>1.899999999999999</v>
      </c>
      <c r="AD75" s="4">
        <f t="shared" si="11"/>
        <v>1.7999999999999989</v>
      </c>
      <c r="AE75" s="4">
        <f t="shared" si="11"/>
        <v>1.6999999999999988</v>
      </c>
      <c r="AF75" s="4">
        <f t="shared" si="11"/>
        <v>1.5999999999999988</v>
      </c>
      <c r="AG75" s="4">
        <f t="shared" si="11"/>
        <v>1.4999999999999987</v>
      </c>
      <c r="AH75" s="4">
        <f t="shared" si="11"/>
        <v>1.3999999999999986</v>
      </c>
      <c r="AI75" s="4">
        <f t="shared" si="11"/>
        <v>1.2999999999999985</v>
      </c>
      <c r="AJ75" s="4">
        <f t="shared" si="11"/>
        <v>1.1999999999999984</v>
      </c>
      <c r="AK75" s="4">
        <f t="shared" si="11"/>
        <v>1.0999999999999983</v>
      </c>
    </row>
    <row r="76" spans="3:37" outlineLevel="1" x14ac:dyDescent="0.25">
      <c r="C76" s="38">
        <v>4.7</v>
      </c>
      <c r="D76" s="4">
        <f t="shared" si="11"/>
        <v>4.5</v>
      </c>
      <c r="E76" s="4">
        <f t="shared" si="11"/>
        <v>4.3</v>
      </c>
      <c r="F76" s="4">
        <f t="shared" si="11"/>
        <v>4.2</v>
      </c>
      <c r="G76" s="4">
        <f t="shared" si="11"/>
        <v>4.1000000000000005</v>
      </c>
      <c r="H76" s="4">
        <f t="shared" si="11"/>
        <v>4.0000000000000009</v>
      </c>
      <c r="I76" s="4">
        <f t="shared" si="11"/>
        <v>3.9000000000000008</v>
      </c>
      <c r="J76" s="4">
        <f t="shared" si="11"/>
        <v>3.8000000000000007</v>
      </c>
      <c r="K76" s="4">
        <f t="shared" si="11"/>
        <v>3.7000000000000006</v>
      </c>
      <c r="L76" s="4">
        <f t="shared" si="11"/>
        <v>3.6000000000000005</v>
      </c>
      <c r="M76" s="4">
        <f t="shared" si="11"/>
        <v>3.5000000000000004</v>
      </c>
      <c r="N76" s="4">
        <f t="shared" si="11"/>
        <v>3.4000000000000004</v>
      </c>
      <c r="O76" s="4">
        <f t="shared" si="11"/>
        <v>3.3000000000000003</v>
      </c>
      <c r="P76" s="4">
        <f t="shared" si="11"/>
        <v>3.2</v>
      </c>
      <c r="Q76" s="4">
        <f t="shared" si="11"/>
        <v>3.1</v>
      </c>
      <c r="R76" s="4">
        <f t="shared" si="11"/>
        <v>3</v>
      </c>
      <c r="S76" s="4">
        <f t="shared" si="11"/>
        <v>2.9</v>
      </c>
      <c r="T76" s="4">
        <f t="shared" si="11"/>
        <v>2.8</v>
      </c>
      <c r="U76" s="4">
        <f t="shared" si="11"/>
        <v>2.6999999999999997</v>
      </c>
      <c r="V76" s="4">
        <f t="shared" si="11"/>
        <v>2.5999999999999996</v>
      </c>
      <c r="W76" s="4">
        <f t="shared" si="11"/>
        <v>2.4999999999999996</v>
      </c>
      <c r="X76" s="4">
        <f t="shared" si="11"/>
        <v>2.3999999999999995</v>
      </c>
      <c r="Y76" s="4">
        <f t="shared" si="11"/>
        <v>2.2999999999999994</v>
      </c>
      <c r="Z76" s="4">
        <f t="shared" si="11"/>
        <v>2.1999999999999993</v>
      </c>
      <c r="AA76" s="4">
        <f t="shared" si="11"/>
        <v>2.0999999999999992</v>
      </c>
      <c r="AB76" s="4">
        <f t="shared" si="11"/>
        <v>1.9999999999999991</v>
      </c>
      <c r="AC76" s="4">
        <f t="shared" si="11"/>
        <v>1.899999999999999</v>
      </c>
      <c r="AD76" s="4">
        <f t="shared" si="11"/>
        <v>1.7999999999999989</v>
      </c>
      <c r="AE76" s="4">
        <f t="shared" si="11"/>
        <v>1.6999999999999988</v>
      </c>
      <c r="AF76" s="4">
        <f t="shared" si="11"/>
        <v>1.5999999999999988</v>
      </c>
      <c r="AG76" s="4">
        <f t="shared" si="11"/>
        <v>1.4999999999999987</v>
      </c>
      <c r="AH76" s="4">
        <f t="shared" si="11"/>
        <v>1.3999999999999986</v>
      </c>
      <c r="AI76" s="4">
        <f t="shared" si="11"/>
        <v>1.2999999999999985</v>
      </c>
      <c r="AJ76" s="4">
        <f t="shared" si="11"/>
        <v>1.1999999999999984</v>
      </c>
      <c r="AK76" s="4">
        <f t="shared" si="11"/>
        <v>1.0999999999999983</v>
      </c>
    </row>
    <row r="77" spans="3:37" outlineLevel="1" x14ac:dyDescent="0.25">
      <c r="C77" s="38">
        <v>4.8</v>
      </c>
      <c r="D77" s="4">
        <f t="shared" si="11"/>
        <v>4.5999999999999996</v>
      </c>
      <c r="E77" s="4">
        <f t="shared" si="11"/>
        <v>4.3999999999999995</v>
      </c>
      <c r="F77" s="4">
        <f t="shared" si="11"/>
        <v>4.3</v>
      </c>
      <c r="G77" s="4">
        <f t="shared" si="11"/>
        <v>4.2</v>
      </c>
      <c r="H77" s="4">
        <f t="shared" si="11"/>
        <v>4.1000000000000005</v>
      </c>
      <c r="I77" s="4">
        <f t="shared" si="11"/>
        <v>4.0000000000000009</v>
      </c>
      <c r="J77" s="4">
        <f t="shared" si="11"/>
        <v>3.9000000000000008</v>
      </c>
      <c r="K77" s="4">
        <f t="shared" si="11"/>
        <v>3.8000000000000007</v>
      </c>
      <c r="L77" s="4">
        <f t="shared" si="11"/>
        <v>3.7000000000000006</v>
      </c>
      <c r="M77" s="4">
        <f t="shared" si="11"/>
        <v>3.6000000000000005</v>
      </c>
      <c r="N77" s="4">
        <f t="shared" si="11"/>
        <v>3.5000000000000004</v>
      </c>
      <c r="O77" s="4">
        <f t="shared" si="11"/>
        <v>3.4000000000000004</v>
      </c>
      <c r="P77" s="4">
        <f t="shared" si="11"/>
        <v>3.3000000000000003</v>
      </c>
      <c r="Q77" s="4">
        <f t="shared" si="11"/>
        <v>3.2</v>
      </c>
      <c r="R77" s="4">
        <f t="shared" si="11"/>
        <v>3.1</v>
      </c>
      <c r="S77" s="4">
        <f t="shared" si="11"/>
        <v>3</v>
      </c>
      <c r="T77" s="4">
        <f t="shared" si="11"/>
        <v>2.9</v>
      </c>
      <c r="U77" s="4">
        <f t="shared" si="11"/>
        <v>2.8</v>
      </c>
      <c r="V77" s="4">
        <f t="shared" si="11"/>
        <v>2.6999999999999997</v>
      </c>
      <c r="W77" s="4">
        <f t="shared" si="11"/>
        <v>2.5999999999999996</v>
      </c>
      <c r="X77" s="4">
        <f t="shared" si="11"/>
        <v>2.4999999999999996</v>
      </c>
      <c r="Y77" s="4">
        <f t="shared" si="11"/>
        <v>2.3999999999999995</v>
      </c>
      <c r="Z77" s="4">
        <f t="shared" si="11"/>
        <v>2.2999999999999994</v>
      </c>
      <c r="AA77" s="4">
        <f t="shared" si="11"/>
        <v>2.1999999999999993</v>
      </c>
      <c r="AB77" s="4">
        <f t="shared" si="11"/>
        <v>2.0999999999999992</v>
      </c>
      <c r="AC77" s="4">
        <f t="shared" si="11"/>
        <v>1.9999999999999991</v>
      </c>
      <c r="AD77" s="4">
        <f t="shared" si="11"/>
        <v>1.899999999999999</v>
      </c>
      <c r="AE77" s="4">
        <f t="shared" si="11"/>
        <v>1.7999999999999989</v>
      </c>
      <c r="AF77" s="4">
        <f t="shared" si="11"/>
        <v>1.6999999999999988</v>
      </c>
      <c r="AG77" s="4">
        <f t="shared" si="11"/>
        <v>1.5999999999999988</v>
      </c>
      <c r="AH77" s="4">
        <f t="shared" si="11"/>
        <v>1.4999999999999987</v>
      </c>
      <c r="AI77" s="4">
        <f t="shared" si="11"/>
        <v>1.3999999999999986</v>
      </c>
      <c r="AJ77" s="4">
        <f t="shared" si="11"/>
        <v>1.2999999999999985</v>
      </c>
      <c r="AK77" s="4">
        <f t="shared" si="11"/>
        <v>1.1999999999999984</v>
      </c>
    </row>
    <row r="78" spans="3:37" outlineLevel="1" x14ac:dyDescent="0.25">
      <c r="C78" s="38">
        <v>4.9000000000000004</v>
      </c>
      <c r="D78" s="4">
        <f t="shared" si="11"/>
        <v>4.7</v>
      </c>
      <c r="E78" s="4">
        <f t="shared" si="11"/>
        <v>4.5</v>
      </c>
      <c r="F78" s="4">
        <f t="shared" si="11"/>
        <v>4.3</v>
      </c>
      <c r="G78" s="4">
        <f t="shared" si="11"/>
        <v>4.2</v>
      </c>
      <c r="H78" s="4">
        <f t="shared" si="11"/>
        <v>4.1000000000000005</v>
      </c>
      <c r="I78" s="4">
        <f t="shared" si="11"/>
        <v>4.0000000000000009</v>
      </c>
      <c r="J78" s="4">
        <f t="shared" si="11"/>
        <v>3.9000000000000008</v>
      </c>
      <c r="K78" s="4">
        <f t="shared" si="11"/>
        <v>3.8000000000000007</v>
      </c>
      <c r="L78" s="4">
        <f t="shared" si="11"/>
        <v>3.7000000000000006</v>
      </c>
      <c r="M78" s="4">
        <f t="shared" si="11"/>
        <v>3.6000000000000005</v>
      </c>
      <c r="N78" s="4">
        <f t="shared" si="11"/>
        <v>3.5000000000000004</v>
      </c>
      <c r="O78" s="4">
        <f t="shared" si="11"/>
        <v>3.4000000000000004</v>
      </c>
      <c r="P78" s="4">
        <f t="shared" si="11"/>
        <v>3.3000000000000003</v>
      </c>
      <c r="Q78" s="4">
        <f t="shared" si="11"/>
        <v>3.2</v>
      </c>
      <c r="R78" s="4">
        <f t="shared" si="11"/>
        <v>3.1</v>
      </c>
      <c r="S78" s="4">
        <f t="shared" si="11"/>
        <v>3</v>
      </c>
      <c r="T78" s="4">
        <f t="shared" si="11"/>
        <v>2.9</v>
      </c>
      <c r="U78" s="4">
        <f t="shared" si="11"/>
        <v>2.8</v>
      </c>
      <c r="V78" s="4">
        <f t="shared" si="11"/>
        <v>2.6999999999999997</v>
      </c>
      <c r="W78" s="4">
        <f t="shared" si="11"/>
        <v>2.5999999999999996</v>
      </c>
      <c r="X78" s="4">
        <f t="shared" si="11"/>
        <v>2.4999999999999996</v>
      </c>
      <c r="Y78" s="4">
        <f t="shared" si="11"/>
        <v>2.3999999999999995</v>
      </c>
      <c r="Z78" s="4">
        <f t="shared" si="11"/>
        <v>2.2999999999999994</v>
      </c>
      <c r="AA78" s="4">
        <f t="shared" si="11"/>
        <v>2.1999999999999993</v>
      </c>
      <c r="AB78" s="4">
        <f t="shared" si="11"/>
        <v>2.0999999999999992</v>
      </c>
      <c r="AC78" s="4">
        <f t="shared" si="11"/>
        <v>1.9999999999999991</v>
      </c>
      <c r="AD78" s="4">
        <f t="shared" si="11"/>
        <v>1.899999999999999</v>
      </c>
      <c r="AE78" s="4">
        <f t="shared" si="11"/>
        <v>1.7999999999999989</v>
      </c>
      <c r="AF78" s="4">
        <f t="shared" si="11"/>
        <v>1.6999999999999988</v>
      </c>
      <c r="AG78" s="4">
        <f t="shared" si="11"/>
        <v>1.5999999999999988</v>
      </c>
      <c r="AH78" s="4">
        <f t="shared" si="11"/>
        <v>1.4999999999999987</v>
      </c>
      <c r="AI78" s="4">
        <f t="shared" si="11"/>
        <v>1.3999999999999986</v>
      </c>
      <c r="AJ78" s="4">
        <f t="shared" si="11"/>
        <v>1.2999999999999985</v>
      </c>
      <c r="AK78" s="4">
        <f t="shared" si="11"/>
        <v>1.1999999999999984</v>
      </c>
    </row>
    <row r="79" spans="3:37" outlineLevel="1" x14ac:dyDescent="0.25">
      <c r="C79" s="38">
        <v>5</v>
      </c>
      <c r="D79" s="4">
        <f t="shared" si="11"/>
        <v>4.8</v>
      </c>
      <c r="E79" s="4">
        <f t="shared" si="11"/>
        <v>4.5999999999999996</v>
      </c>
      <c r="F79" s="4">
        <f t="shared" si="11"/>
        <v>4.3999999999999995</v>
      </c>
      <c r="G79" s="4">
        <f t="shared" si="11"/>
        <v>4.3</v>
      </c>
      <c r="H79" s="4">
        <f t="shared" si="11"/>
        <v>4.2</v>
      </c>
      <c r="I79" s="4">
        <f t="shared" si="11"/>
        <v>4.1000000000000005</v>
      </c>
      <c r="J79" s="4">
        <f t="shared" si="11"/>
        <v>4.0000000000000009</v>
      </c>
      <c r="K79" s="4">
        <f t="shared" si="11"/>
        <v>3.9000000000000008</v>
      </c>
      <c r="L79" s="4">
        <f t="shared" si="11"/>
        <v>3.8000000000000007</v>
      </c>
      <c r="M79" s="4">
        <f t="shared" si="11"/>
        <v>3.7000000000000006</v>
      </c>
      <c r="N79" s="4">
        <f t="shared" si="11"/>
        <v>3.6000000000000005</v>
      </c>
      <c r="O79" s="4">
        <f t="shared" si="11"/>
        <v>3.5000000000000004</v>
      </c>
      <c r="P79" s="4">
        <f t="shared" si="11"/>
        <v>3.4000000000000004</v>
      </c>
      <c r="Q79" s="4">
        <f t="shared" si="11"/>
        <v>3.3000000000000003</v>
      </c>
      <c r="R79" s="4">
        <f t="shared" si="11"/>
        <v>3.2</v>
      </c>
      <c r="S79" s="4">
        <f t="shared" si="11"/>
        <v>3.1</v>
      </c>
      <c r="T79" s="4">
        <f t="shared" si="11"/>
        <v>3</v>
      </c>
      <c r="U79" s="4">
        <f t="shared" si="11"/>
        <v>2.9</v>
      </c>
      <c r="V79" s="4">
        <f t="shared" si="11"/>
        <v>2.8</v>
      </c>
      <c r="W79" s="4">
        <f t="shared" si="11"/>
        <v>2.6999999999999997</v>
      </c>
      <c r="X79" s="4">
        <f t="shared" si="11"/>
        <v>2.5999999999999996</v>
      </c>
      <c r="Y79" s="4">
        <f t="shared" si="11"/>
        <v>2.4999999999999996</v>
      </c>
      <c r="Z79" s="4">
        <f t="shared" si="11"/>
        <v>2.3999999999999995</v>
      </c>
      <c r="AA79" s="4">
        <f t="shared" si="11"/>
        <v>2.2999999999999994</v>
      </c>
      <c r="AB79" s="4">
        <f t="shared" si="11"/>
        <v>2.1999999999999993</v>
      </c>
      <c r="AC79" s="4">
        <f t="shared" si="11"/>
        <v>2.0999999999999992</v>
      </c>
      <c r="AD79" s="4">
        <f t="shared" si="11"/>
        <v>1.9999999999999991</v>
      </c>
      <c r="AE79" s="4">
        <f t="shared" si="11"/>
        <v>1.899999999999999</v>
      </c>
      <c r="AF79" s="4">
        <f t="shared" si="11"/>
        <v>1.7999999999999989</v>
      </c>
      <c r="AG79" s="4">
        <f t="shared" si="11"/>
        <v>1.6999999999999988</v>
      </c>
      <c r="AH79" s="4">
        <f t="shared" si="11"/>
        <v>1.5999999999999988</v>
      </c>
      <c r="AI79" s="4">
        <f t="shared" si="11"/>
        <v>1.4999999999999987</v>
      </c>
      <c r="AJ79" s="4">
        <f t="shared" si="11"/>
        <v>1.3999999999999986</v>
      </c>
      <c r="AK79" s="4">
        <f t="shared" si="11"/>
        <v>1.2999999999999985</v>
      </c>
    </row>
    <row r="80" spans="3:37" outlineLevel="1" x14ac:dyDescent="0.25">
      <c r="C80" s="38">
        <v>5.0999999999999996</v>
      </c>
      <c r="D80" s="4">
        <f t="shared" si="11"/>
        <v>4.8999999999999995</v>
      </c>
      <c r="E80" s="4">
        <f t="shared" si="11"/>
        <v>4.6999999999999993</v>
      </c>
      <c r="F80" s="4">
        <f t="shared" si="11"/>
        <v>4.4999999999999991</v>
      </c>
      <c r="G80" s="4">
        <f t="shared" si="11"/>
        <v>4.2999999999999989</v>
      </c>
      <c r="H80" s="4">
        <f t="shared" si="11"/>
        <v>4.1999999999999993</v>
      </c>
      <c r="I80" s="4">
        <f t="shared" si="11"/>
        <v>4.0999999999999996</v>
      </c>
      <c r="J80" s="4">
        <f t="shared" si="11"/>
        <v>3.9999999999999996</v>
      </c>
      <c r="K80" s="4">
        <f t="shared" si="11"/>
        <v>3.8999999999999995</v>
      </c>
      <c r="L80" s="4">
        <f t="shared" si="11"/>
        <v>3.7999999999999994</v>
      </c>
      <c r="M80" s="4">
        <f t="shared" si="11"/>
        <v>3.6999999999999993</v>
      </c>
      <c r="N80" s="4">
        <f t="shared" si="11"/>
        <v>3.5999999999999992</v>
      </c>
      <c r="O80" s="4">
        <f t="shared" si="11"/>
        <v>3.4999999999999991</v>
      </c>
      <c r="P80" s="4">
        <f t="shared" si="11"/>
        <v>3.399999999999999</v>
      </c>
      <c r="Q80" s="4">
        <f t="shared" si="11"/>
        <v>3.2999999999999989</v>
      </c>
      <c r="R80" s="4">
        <f t="shared" si="11"/>
        <v>3.1999999999999988</v>
      </c>
      <c r="S80" s="4">
        <f t="shared" si="11"/>
        <v>3.0999999999999988</v>
      </c>
      <c r="T80" s="4">
        <f t="shared" si="11"/>
        <v>2.9999999999999987</v>
      </c>
      <c r="U80" s="4">
        <f t="shared" ref="U80:AK80" si="12">(IF(T80&lt;=4.4,T80-$E$6,IF(AND(T80&gt;=4.5,T80&lt;=11.4),T80-$E$7,IF(AND(T80&gt;=11.5,T80&lt;=18.4),T80-$E$8,IF(AND(T80&gt;=18.5,T80&lt;=26.4),T80-$E$9,IF(AND(T80&gt;=26.4,T80&lt;=36),T80-$E$10,IF(T80&gt;=37,T80-$E$11)))))))</f>
        <v>2.8999999999999986</v>
      </c>
      <c r="V80" s="4">
        <f t="shared" si="12"/>
        <v>2.7999999999999985</v>
      </c>
      <c r="W80" s="4">
        <f t="shared" si="12"/>
        <v>2.6999999999999984</v>
      </c>
      <c r="X80" s="4">
        <f t="shared" si="12"/>
        <v>2.5999999999999983</v>
      </c>
      <c r="Y80" s="4">
        <f t="shared" si="12"/>
        <v>2.4999999999999982</v>
      </c>
      <c r="Z80" s="4">
        <f t="shared" si="12"/>
        <v>2.3999999999999981</v>
      </c>
      <c r="AA80" s="4">
        <f t="shared" si="12"/>
        <v>2.299999999999998</v>
      </c>
      <c r="AB80" s="4">
        <f t="shared" si="12"/>
        <v>2.199999999999998</v>
      </c>
      <c r="AC80" s="4">
        <f t="shared" si="12"/>
        <v>2.0999999999999979</v>
      </c>
      <c r="AD80" s="4">
        <f t="shared" si="12"/>
        <v>1.9999999999999978</v>
      </c>
      <c r="AE80" s="4">
        <f t="shared" si="12"/>
        <v>1.8999999999999977</v>
      </c>
      <c r="AF80" s="4">
        <f t="shared" si="12"/>
        <v>1.7999999999999976</v>
      </c>
      <c r="AG80" s="4">
        <f t="shared" si="12"/>
        <v>1.6999999999999975</v>
      </c>
      <c r="AH80" s="4">
        <f t="shared" si="12"/>
        <v>1.5999999999999974</v>
      </c>
      <c r="AI80" s="4">
        <f t="shared" si="12"/>
        <v>1.4999999999999973</v>
      </c>
      <c r="AJ80" s="4">
        <f t="shared" si="12"/>
        <v>1.3999999999999972</v>
      </c>
      <c r="AK80" s="4">
        <f t="shared" si="12"/>
        <v>1.2999999999999972</v>
      </c>
    </row>
    <row r="81" spans="3:37" outlineLevel="1" x14ac:dyDescent="0.25">
      <c r="C81" s="38">
        <v>5.2</v>
      </c>
      <c r="D81" s="4">
        <f t="shared" ref="D81:AK88" si="13">(IF(C81&lt;=4.4,C81-$E$6,IF(AND(C81&gt;=4.5,C81&lt;=11.4),C81-$E$7,IF(AND(C81&gt;=11.5,C81&lt;=18.4),C81-$E$8,IF(AND(C81&gt;=18.5,C81&lt;=26.4),C81-$E$9,IF(AND(C81&gt;=26.4,C81&lt;=36),C81-$E$10,IF(C81&gt;=37,C81-$E$11)))))))</f>
        <v>5</v>
      </c>
      <c r="E81" s="4">
        <f t="shared" si="13"/>
        <v>4.8</v>
      </c>
      <c r="F81" s="4">
        <f t="shared" si="13"/>
        <v>4.5999999999999996</v>
      </c>
      <c r="G81" s="4">
        <f t="shared" si="13"/>
        <v>4.3999999999999995</v>
      </c>
      <c r="H81" s="4">
        <f t="shared" si="13"/>
        <v>4.3</v>
      </c>
      <c r="I81" s="4">
        <f t="shared" si="13"/>
        <v>4.2</v>
      </c>
      <c r="J81" s="4">
        <f t="shared" si="13"/>
        <v>4.1000000000000005</v>
      </c>
      <c r="K81" s="4">
        <f t="shared" si="13"/>
        <v>4.0000000000000009</v>
      </c>
      <c r="L81" s="4">
        <f t="shared" si="13"/>
        <v>3.9000000000000008</v>
      </c>
      <c r="M81" s="4">
        <f t="shared" si="13"/>
        <v>3.8000000000000007</v>
      </c>
      <c r="N81" s="4">
        <f t="shared" si="13"/>
        <v>3.7000000000000006</v>
      </c>
      <c r="O81" s="4">
        <f t="shared" si="13"/>
        <v>3.6000000000000005</v>
      </c>
      <c r="P81" s="4">
        <f t="shared" si="13"/>
        <v>3.5000000000000004</v>
      </c>
      <c r="Q81" s="4">
        <f t="shared" si="13"/>
        <v>3.4000000000000004</v>
      </c>
      <c r="R81" s="4">
        <f t="shared" si="13"/>
        <v>3.3000000000000003</v>
      </c>
      <c r="S81" s="4">
        <f t="shared" si="13"/>
        <v>3.2</v>
      </c>
      <c r="T81" s="4">
        <f t="shared" si="13"/>
        <v>3.1</v>
      </c>
      <c r="U81" s="4">
        <f t="shared" si="13"/>
        <v>3</v>
      </c>
      <c r="V81" s="4">
        <f t="shared" si="13"/>
        <v>2.9</v>
      </c>
      <c r="W81" s="4">
        <f t="shared" si="13"/>
        <v>2.8</v>
      </c>
      <c r="X81" s="4">
        <f t="shared" si="13"/>
        <v>2.6999999999999997</v>
      </c>
      <c r="Y81" s="4">
        <f t="shared" si="13"/>
        <v>2.5999999999999996</v>
      </c>
      <c r="Z81" s="4">
        <f t="shared" si="13"/>
        <v>2.4999999999999996</v>
      </c>
      <c r="AA81" s="4">
        <f t="shared" si="13"/>
        <v>2.3999999999999995</v>
      </c>
      <c r="AB81" s="4">
        <f t="shared" si="13"/>
        <v>2.2999999999999994</v>
      </c>
      <c r="AC81" s="4">
        <f t="shared" si="13"/>
        <v>2.1999999999999993</v>
      </c>
      <c r="AD81" s="4">
        <f t="shared" si="13"/>
        <v>2.0999999999999992</v>
      </c>
      <c r="AE81" s="4">
        <f t="shared" si="13"/>
        <v>1.9999999999999991</v>
      </c>
      <c r="AF81" s="4">
        <f t="shared" si="13"/>
        <v>1.899999999999999</v>
      </c>
      <c r="AG81" s="4">
        <f t="shared" si="13"/>
        <v>1.7999999999999989</v>
      </c>
      <c r="AH81" s="4">
        <f t="shared" si="13"/>
        <v>1.6999999999999988</v>
      </c>
      <c r="AI81" s="4">
        <f t="shared" si="13"/>
        <v>1.5999999999999988</v>
      </c>
      <c r="AJ81" s="4">
        <f t="shared" si="13"/>
        <v>1.4999999999999987</v>
      </c>
      <c r="AK81" s="4">
        <f t="shared" si="13"/>
        <v>1.3999999999999986</v>
      </c>
    </row>
    <row r="82" spans="3:37" outlineLevel="1" x14ac:dyDescent="0.25">
      <c r="C82" s="38">
        <v>5.3</v>
      </c>
      <c r="D82" s="4">
        <f t="shared" si="13"/>
        <v>5.0999999999999996</v>
      </c>
      <c r="E82" s="4">
        <f t="shared" si="13"/>
        <v>4.8999999999999995</v>
      </c>
      <c r="F82" s="4">
        <f t="shared" si="13"/>
        <v>4.6999999999999993</v>
      </c>
      <c r="G82" s="4">
        <f t="shared" si="13"/>
        <v>4.4999999999999991</v>
      </c>
      <c r="H82" s="4">
        <f t="shared" si="13"/>
        <v>4.2999999999999989</v>
      </c>
      <c r="I82" s="4">
        <f t="shared" si="13"/>
        <v>4.1999999999999993</v>
      </c>
      <c r="J82" s="4">
        <f t="shared" si="13"/>
        <v>4.0999999999999996</v>
      </c>
      <c r="K82" s="4">
        <f t="shared" si="13"/>
        <v>3.9999999999999996</v>
      </c>
      <c r="L82" s="4">
        <f t="shared" si="13"/>
        <v>3.8999999999999995</v>
      </c>
      <c r="M82" s="4">
        <f t="shared" si="13"/>
        <v>3.7999999999999994</v>
      </c>
      <c r="N82" s="4">
        <f t="shared" si="13"/>
        <v>3.6999999999999993</v>
      </c>
      <c r="O82" s="4">
        <f t="shared" si="13"/>
        <v>3.5999999999999992</v>
      </c>
      <c r="P82" s="4">
        <f t="shared" si="13"/>
        <v>3.4999999999999991</v>
      </c>
      <c r="Q82" s="4">
        <f t="shared" si="13"/>
        <v>3.399999999999999</v>
      </c>
      <c r="R82" s="4">
        <f t="shared" si="13"/>
        <v>3.2999999999999989</v>
      </c>
      <c r="S82" s="4">
        <f t="shared" si="13"/>
        <v>3.1999999999999988</v>
      </c>
      <c r="T82" s="4">
        <f t="shared" si="13"/>
        <v>3.0999999999999988</v>
      </c>
      <c r="U82" s="4">
        <f t="shared" si="13"/>
        <v>2.9999999999999987</v>
      </c>
      <c r="V82" s="4">
        <f t="shared" si="13"/>
        <v>2.8999999999999986</v>
      </c>
      <c r="W82" s="4">
        <f t="shared" si="13"/>
        <v>2.7999999999999985</v>
      </c>
      <c r="X82" s="4">
        <f t="shared" si="13"/>
        <v>2.6999999999999984</v>
      </c>
      <c r="Y82" s="4">
        <f t="shared" si="13"/>
        <v>2.5999999999999983</v>
      </c>
      <c r="Z82" s="4">
        <f t="shared" si="13"/>
        <v>2.4999999999999982</v>
      </c>
      <c r="AA82" s="4">
        <f t="shared" si="13"/>
        <v>2.3999999999999981</v>
      </c>
      <c r="AB82" s="4">
        <f t="shared" si="13"/>
        <v>2.299999999999998</v>
      </c>
      <c r="AC82" s="4">
        <f t="shared" si="13"/>
        <v>2.199999999999998</v>
      </c>
      <c r="AD82" s="4">
        <f t="shared" si="13"/>
        <v>2.0999999999999979</v>
      </c>
      <c r="AE82" s="4">
        <f t="shared" si="13"/>
        <v>1.9999999999999978</v>
      </c>
      <c r="AF82" s="4">
        <f t="shared" si="13"/>
        <v>1.8999999999999977</v>
      </c>
      <c r="AG82" s="4">
        <f t="shared" si="13"/>
        <v>1.7999999999999976</v>
      </c>
      <c r="AH82" s="4">
        <f t="shared" si="13"/>
        <v>1.6999999999999975</v>
      </c>
      <c r="AI82" s="4">
        <f t="shared" si="13"/>
        <v>1.5999999999999974</v>
      </c>
      <c r="AJ82" s="4">
        <f t="shared" si="13"/>
        <v>1.4999999999999973</v>
      </c>
      <c r="AK82" s="4">
        <f t="shared" si="13"/>
        <v>1.3999999999999972</v>
      </c>
    </row>
    <row r="83" spans="3:37" outlineLevel="1" x14ac:dyDescent="0.25">
      <c r="C83" s="38">
        <v>5.4</v>
      </c>
      <c r="D83" s="4">
        <f t="shared" si="13"/>
        <v>5.2</v>
      </c>
      <c r="E83" s="4">
        <f t="shared" si="13"/>
        <v>5</v>
      </c>
      <c r="F83" s="4">
        <f t="shared" si="13"/>
        <v>4.8</v>
      </c>
      <c r="G83" s="4">
        <f t="shared" si="13"/>
        <v>4.5999999999999996</v>
      </c>
      <c r="H83" s="4">
        <f t="shared" si="13"/>
        <v>4.3999999999999995</v>
      </c>
      <c r="I83" s="4">
        <f t="shared" si="13"/>
        <v>4.3</v>
      </c>
      <c r="J83" s="4">
        <f t="shared" si="13"/>
        <v>4.2</v>
      </c>
      <c r="K83" s="4">
        <f t="shared" si="13"/>
        <v>4.1000000000000005</v>
      </c>
      <c r="L83" s="4">
        <f t="shared" si="13"/>
        <v>4.0000000000000009</v>
      </c>
      <c r="M83" s="4">
        <f t="shared" si="13"/>
        <v>3.9000000000000008</v>
      </c>
      <c r="N83" s="4">
        <f t="shared" si="13"/>
        <v>3.8000000000000007</v>
      </c>
      <c r="O83" s="4">
        <f t="shared" si="13"/>
        <v>3.7000000000000006</v>
      </c>
      <c r="P83" s="4">
        <f t="shared" si="13"/>
        <v>3.6000000000000005</v>
      </c>
      <c r="Q83" s="4">
        <f t="shared" si="13"/>
        <v>3.5000000000000004</v>
      </c>
      <c r="R83" s="4">
        <f t="shared" si="13"/>
        <v>3.4000000000000004</v>
      </c>
      <c r="S83" s="4">
        <f t="shared" si="13"/>
        <v>3.3000000000000003</v>
      </c>
      <c r="T83" s="4">
        <f t="shared" si="13"/>
        <v>3.2</v>
      </c>
      <c r="U83" s="4">
        <f t="shared" si="13"/>
        <v>3.1</v>
      </c>
      <c r="V83" s="4">
        <f t="shared" si="13"/>
        <v>3</v>
      </c>
      <c r="W83" s="4">
        <f t="shared" si="13"/>
        <v>2.9</v>
      </c>
      <c r="X83" s="4">
        <f t="shared" si="13"/>
        <v>2.8</v>
      </c>
      <c r="Y83" s="4">
        <f t="shared" si="13"/>
        <v>2.6999999999999997</v>
      </c>
      <c r="Z83" s="4">
        <f t="shared" si="13"/>
        <v>2.5999999999999996</v>
      </c>
      <c r="AA83" s="4">
        <f t="shared" si="13"/>
        <v>2.4999999999999996</v>
      </c>
      <c r="AB83" s="4">
        <f t="shared" si="13"/>
        <v>2.3999999999999995</v>
      </c>
      <c r="AC83" s="4">
        <f t="shared" si="13"/>
        <v>2.2999999999999994</v>
      </c>
      <c r="AD83" s="4">
        <f t="shared" si="13"/>
        <v>2.1999999999999993</v>
      </c>
      <c r="AE83" s="4">
        <f t="shared" si="13"/>
        <v>2.0999999999999992</v>
      </c>
      <c r="AF83" s="4">
        <f t="shared" si="13"/>
        <v>1.9999999999999991</v>
      </c>
      <c r="AG83" s="4">
        <f t="shared" si="13"/>
        <v>1.899999999999999</v>
      </c>
      <c r="AH83" s="4">
        <f t="shared" si="13"/>
        <v>1.7999999999999989</v>
      </c>
      <c r="AI83" s="4">
        <f t="shared" si="13"/>
        <v>1.6999999999999988</v>
      </c>
      <c r="AJ83" s="4">
        <f t="shared" si="13"/>
        <v>1.5999999999999988</v>
      </c>
      <c r="AK83" s="4">
        <f t="shared" si="13"/>
        <v>1.4999999999999987</v>
      </c>
    </row>
    <row r="84" spans="3:37" outlineLevel="1" x14ac:dyDescent="0.25">
      <c r="C84" s="38">
        <v>5.5</v>
      </c>
      <c r="D84" s="4">
        <f t="shared" si="13"/>
        <v>5.3</v>
      </c>
      <c r="E84" s="4">
        <f t="shared" si="13"/>
        <v>5.0999999999999996</v>
      </c>
      <c r="F84" s="4">
        <f t="shared" si="13"/>
        <v>4.8999999999999995</v>
      </c>
      <c r="G84" s="4">
        <f t="shared" si="13"/>
        <v>4.6999999999999993</v>
      </c>
      <c r="H84" s="4">
        <f t="shared" si="13"/>
        <v>4.4999999999999991</v>
      </c>
      <c r="I84" s="4">
        <f t="shared" si="13"/>
        <v>4.2999999999999989</v>
      </c>
      <c r="J84" s="4">
        <f t="shared" si="13"/>
        <v>4.1999999999999993</v>
      </c>
      <c r="K84" s="4">
        <f t="shared" si="13"/>
        <v>4.0999999999999996</v>
      </c>
      <c r="L84" s="4">
        <f t="shared" si="13"/>
        <v>3.9999999999999996</v>
      </c>
      <c r="M84" s="4">
        <f t="shared" si="13"/>
        <v>3.8999999999999995</v>
      </c>
      <c r="N84" s="4">
        <f t="shared" si="13"/>
        <v>3.7999999999999994</v>
      </c>
      <c r="O84" s="4">
        <f t="shared" si="13"/>
        <v>3.6999999999999993</v>
      </c>
      <c r="P84" s="4">
        <f t="shared" si="13"/>
        <v>3.5999999999999992</v>
      </c>
      <c r="Q84" s="4">
        <f t="shared" si="13"/>
        <v>3.4999999999999991</v>
      </c>
      <c r="R84" s="4">
        <f t="shared" si="13"/>
        <v>3.399999999999999</v>
      </c>
      <c r="S84" s="4">
        <f t="shared" si="13"/>
        <v>3.2999999999999989</v>
      </c>
      <c r="T84" s="4">
        <f t="shared" si="13"/>
        <v>3.1999999999999988</v>
      </c>
      <c r="U84" s="4">
        <f t="shared" si="13"/>
        <v>3.0999999999999988</v>
      </c>
      <c r="V84" s="4">
        <f t="shared" si="13"/>
        <v>2.9999999999999987</v>
      </c>
      <c r="W84" s="4">
        <f t="shared" si="13"/>
        <v>2.8999999999999986</v>
      </c>
      <c r="X84" s="4">
        <f t="shared" si="13"/>
        <v>2.7999999999999985</v>
      </c>
      <c r="Y84" s="4">
        <f t="shared" si="13"/>
        <v>2.6999999999999984</v>
      </c>
      <c r="Z84" s="4">
        <f t="shared" si="13"/>
        <v>2.5999999999999983</v>
      </c>
      <c r="AA84" s="4">
        <f t="shared" si="13"/>
        <v>2.4999999999999982</v>
      </c>
      <c r="AB84" s="4">
        <f t="shared" si="13"/>
        <v>2.3999999999999981</v>
      </c>
      <c r="AC84" s="4">
        <f t="shared" si="13"/>
        <v>2.299999999999998</v>
      </c>
      <c r="AD84" s="4">
        <f t="shared" si="13"/>
        <v>2.199999999999998</v>
      </c>
      <c r="AE84" s="4">
        <f t="shared" si="13"/>
        <v>2.0999999999999979</v>
      </c>
      <c r="AF84" s="4">
        <f t="shared" si="13"/>
        <v>1.9999999999999978</v>
      </c>
      <c r="AG84" s="4">
        <f t="shared" si="13"/>
        <v>1.8999999999999977</v>
      </c>
      <c r="AH84" s="4">
        <f t="shared" si="13"/>
        <v>1.7999999999999976</v>
      </c>
      <c r="AI84" s="4">
        <f t="shared" si="13"/>
        <v>1.6999999999999975</v>
      </c>
      <c r="AJ84" s="4">
        <f t="shared" si="13"/>
        <v>1.5999999999999974</v>
      </c>
      <c r="AK84" s="4">
        <f t="shared" si="13"/>
        <v>1.4999999999999973</v>
      </c>
    </row>
    <row r="85" spans="3:37" outlineLevel="1" x14ac:dyDescent="0.25">
      <c r="C85" s="38">
        <v>5.6</v>
      </c>
      <c r="D85" s="4">
        <f t="shared" si="13"/>
        <v>5.3999999999999995</v>
      </c>
      <c r="E85" s="4">
        <f t="shared" si="13"/>
        <v>5.1999999999999993</v>
      </c>
      <c r="F85" s="4">
        <f t="shared" si="13"/>
        <v>4.9999999999999991</v>
      </c>
      <c r="G85" s="4">
        <f t="shared" si="13"/>
        <v>4.7999999999999989</v>
      </c>
      <c r="H85" s="4">
        <f t="shared" si="13"/>
        <v>4.5999999999999988</v>
      </c>
      <c r="I85" s="4">
        <f t="shared" si="13"/>
        <v>4.3999999999999986</v>
      </c>
      <c r="J85" s="4">
        <f t="shared" si="13"/>
        <v>4.2999999999999989</v>
      </c>
      <c r="K85" s="4">
        <f t="shared" si="13"/>
        <v>4.1999999999999993</v>
      </c>
      <c r="L85" s="4">
        <f t="shared" si="13"/>
        <v>4.0999999999999996</v>
      </c>
      <c r="M85" s="4">
        <f t="shared" si="13"/>
        <v>3.9999999999999996</v>
      </c>
      <c r="N85" s="4">
        <f t="shared" si="13"/>
        <v>3.8999999999999995</v>
      </c>
      <c r="O85" s="4">
        <f t="shared" si="13"/>
        <v>3.7999999999999994</v>
      </c>
      <c r="P85" s="4">
        <f t="shared" si="13"/>
        <v>3.6999999999999993</v>
      </c>
      <c r="Q85" s="4">
        <f t="shared" si="13"/>
        <v>3.5999999999999992</v>
      </c>
      <c r="R85" s="4">
        <f t="shared" si="13"/>
        <v>3.4999999999999991</v>
      </c>
      <c r="S85" s="4">
        <f t="shared" si="13"/>
        <v>3.399999999999999</v>
      </c>
      <c r="T85" s="4">
        <f t="shared" si="13"/>
        <v>3.2999999999999989</v>
      </c>
      <c r="U85" s="4">
        <f t="shared" si="13"/>
        <v>3.1999999999999988</v>
      </c>
      <c r="V85" s="4">
        <f t="shared" si="13"/>
        <v>3.0999999999999988</v>
      </c>
      <c r="W85" s="4">
        <f t="shared" si="13"/>
        <v>2.9999999999999987</v>
      </c>
      <c r="X85" s="4">
        <f t="shared" si="13"/>
        <v>2.8999999999999986</v>
      </c>
      <c r="Y85" s="4">
        <f t="shared" si="13"/>
        <v>2.7999999999999985</v>
      </c>
      <c r="Z85" s="4">
        <f t="shared" si="13"/>
        <v>2.6999999999999984</v>
      </c>
      <c r="AA85" s="4">
        <f t="shared" si="13"/>
        <v>2.5999999999999983</v>
      </c>
      <c r="AB85" s="4">
        <f t="shared" si="13"/>
        <v>2.4999999999999982</v>
      </c>
      <c r="AC85" s="4">
        <f t="shared" si="13"/>
        <v>2.3999999999999981</v>
      </c>
      <c r="AD85" s="4">
        <f t="shared" si="13"/>
        <v>2.299999999999998</v>
      </c>
      <c r="AE85" s="4">
        <f t="shared" si="13"/>
        <v>2.199999999999998</v>
      </c>
      <c r="AF85" s="4">
        <f t="shared" si="13"/>
        <v>2.0999999999999979</v>
      </c>
      <c r="AG85" s="4">
        <f t="shared" si="13"/>
        <v>1.9999999999999978</v>
      </c>
      <c r="AH85" s="4">
        <f t="shared" si="13"/>
        <v>1.8999999999999977</v>
      </c>
      <c r="AI85" s="4">
        <f t="shared" si="13"/>
        <v>1.7999999999999976</v>
      </c>
      <c r="AJ85" s="4">
        <f t="shared" si="13"/>
        <v>1.6999999999999975</v>
      </c>
      <c r="AK85" s="4">
        <f t="shared" si="13"/>
        <v>1.5999999999999974</v>
      </c>
    </row>
    <row r="86" spans="3:37" outlineLevel="1" x14ac:dyDescent="0.25">
      <c r="C86" s="38">
        <v>5.7</v>
      </c>
      <c r="D86" s="4">
        <f t="shared" si="13"/>
        <v>5.5</v>
      </c>
      <c r="E86" s="4">
        <f t="shared" si="13"/>
        <v>5.3</v>
      </c>
      <c r="F86" s="4">
        <f t="shared" si="13"/>
        <v>5.0999999999999996</v>
      </c>
      <c r="G86" s="4">
        <f t="shared" si="13"/>
        <v>4.8999999999999995</v>
      </c>
      <c r="H86" s="4">
        <f t="shared" si="13"/>
        <v>4.6999999999999993</v>
      </c>
      <c r="I86" s="4">
        <f t="shared" si="13"/>
        <v>4.4999999999999991</v>
      </c>
      <c r="J86" s="4">
        <f t="shared" si="13"/>
        <v>4.2999999999999989</v>
      </c>
      <c r="K86" s="4">
        <f t="shared" si="13"/>
        <v>4.1999999999999993</v>
      </c>
      <c r="L86" s="4">
        <f t="shared" si="13"/>
        <v>4.0999999999999996</v>
      </c>
      <c r="M86" s="4">
        <f t="shared" si="13"/>
        <v>3.9999999999999996</v>
      </c>
      <c r="N86" s="4">
        <f t="shared" si="13"/>
        <v>3.8999999999999995</v>
      </c>
      <c r="O86" s="4">
        <f t="shared" si="13"/>
        <v>3.7999999999999994</v>
      </c>
      <c r="P86" s="4">
        <f t="shared" si="13"/>
        <v>3.6999999999999993</v>
      </c>
      <c r="Q86" s="4">
        <f t="shared" si="13"/>
        <v>3.5999999999999992</v>
      </c>
      <c r="R86" s="4">
        <f t="shared" si="13"/>
        <v>3.4999999999999991</v>
      </c>
      <c r="S86" s="4">
        <f t="shared" si="13"/>
        <v>3.399999999999999</v>
      </c>
      <c r="T86" s="4">
        <f t="shared" si="13"/>
        <v>3.2999999999999989</v>
      </c>
      <c r="U86" s="4">
        <f t="shared" si="13"/>
        <v>3.1999999999999988</v>
      </c>
      <c r="V86" s="4">
        <f t="shared" si="13"/>
        <v>3.0999999999999988</v>
      </c>
      <c r="W86" s="4">
        <f t="shared" si="13"/>
        <v>2.9999999999999987</v>
      </c>
      <c r="X86" s="4">
        <f t="shared" si="13"/>
        <v>2.8999999999999986</v>
      </c>
      <c r="Y86" s="4">
        <f t="shared" si="13"/>
        <v>2.7999999999999985</v>
      </c>
      <c r="Z86" s="4">
        <f t="shared" si="13"/>
        <v>2.6999999999999984</v>
      </c>
      <c r="AA86" s="4">
        <f t="shared" si="13"/>
        <v>2.5999999999999983</v>
      </c>
      <c r="AB86" s="4">
        <f t="shared" si="13"/>
        <v>2.4999999999999982</v>
      </c>
      <c r="AC86" s="4">
        <f t="shared" si="13"/>
        <v>2.3999999999999981</v>
      </c>
      <c r="AD86" s="4">
        <f t="shared" si="13"/>
        <v>2.299999999999998</v>
      </c>
      <c r="AE86" s="4">
        <f t="shared" si="13"/>
        <v>2.199999999999998</v>
      </c>
      <c r="AF86" s="4">
        <f t="shared" si="13"/>
        <v>2.0999999999999979</v>
      </c>
      <c r="AG86" s="4">
        <f t="shared" si="13"/>
        <v>1.9999999999999978</v>
      </c>
      <c r="AH86" s="4">
        <f t="shared" si="13"/>
        <v>1.8999999999999977</v>
      </c>
      <c r="AI86" s="4">
        <f t="shared" si="13"/>
        <v>1.7999999999999976</v>
      </c>
      <c r="AJ86" s="4">
        <f t="shared" si="13"/>
        <v>1.6999999999999975</v>
      </c>
      <c r="AK86" s="4">
        <f t="shared" si="13"/>
        <v>1.5999999999999974</v>
      </c>
    </row>
    <row r="87" spans="3:37" outlineLevel="1" x14ac:dyDescent="0.25">
      <c r="C87" s="38">
        <v>5.8</v>
      </c>
      <c r="D87" s="4">
        <f t="shared" si="13"/>
        <v>5.6</v>
      </c>
      <c r="E87" s="4">
        <f t="shared" si="13"/>
        <v>5.3999999999999995</v>
      </c>
      <c r="F87" s="4">
        <f t="shared" si="13"/>
        <v>5.1999999999999993</v>
      </c>
      <c r="G87" s="4">
        <f t="shared" si="13"/>
        <v>4.9999999999999991</v>
      </c>
      <c r="H87" s="4">
        <f t="shared" si="13"/>
        <v>4.7999999999999989</v>
      </c>
      <c r="I87" s="4">
        <f t="shared" si="13"/>
        <v>4.5999999999999988</v>
      </c>
      <c r="J87" s="4">
        <f t="shared" si="13"/>
        <v>4.3999999999999986</v>
      </c>
      <c r="K87" s="4">
        <f t="shared" si="13"/>
        <v>4.2999999999999989</v>
      </c>
      <c r="L87" s="4">
        <f t="shared" si="13"/>
        <v>4.1999999999999993</v>
      </c>
      <c r="M87" s="4">
        <f t="shared" si="13"/>
        <v>4.0999999999999996</v>
      </c>
      <c r="N87" s="4">
        <f t="shared" si="13"/>
        <v>3.9999999999999996</v>
      </c>
      <c r="O87" s="4">
        <f t="shared" si="13"/>
        <v>3.8999999999999995</v>
      </c>
      <c r="P87" s="4">
        <f t="shared" si="13"/>
        <v>3.7999999999999994</v>
      </c>
      <c r="Q87" s="4">
        <f t="shared" si="13"/>
        <v>3.6999999999999993</v>
      </c>
      <c r="R87" s="4">
        <f t="shared" si="13"/>
        <v>3.5999999999999992</v>
      </c>
      <c r="S87" s="4">
        <f t="shared" si="13"/>
        <v>3.4999999999999991</v>
      </c>
      <c r="T87" s="4">
        <f t="shared" si="13"/>
        <v>3.399999999999999</v>
      </c>
      <c r="U87" s="4">
        <f t="shared" si="13"/>
        <v>3.2999999999999989</v>
      </c>
      <c r="V87" s="4">
        <f t="shared" si="13"/>
        <v>3.1999999999999988</v>
      </c>
      <c r="W87" s="4">
        <f t="shared" si="13"/>
        <v>3.0999999999999988</v>
      </c>
      <c r="X87" s="4">
        <f t="shared" si="13"/>
        <v>2.9999999999999987</v>
      </c>
      <c r="Y87" s="4">
        <f t="shared" si="13"/>
        <v>2.8999999999999986</v>
      </c>
      <c r="Z87" s="4">
        <f t="shared" si="13"/>
        <v>2.7999999999999985</v>
      </c>
      <c r="AA87" s="4">
        <f t="shared" si="13"/>
        <v>2.6999999999999984</v>
      </c>
      <c r="AB87" s="4">
        <f t="shared" si="13"/>
        <v>2.5999999999999983</v>
      </c>
      <c r="AC87" s="4">
        <f t="shared" si="13"/>
        <v>2.4999999999999982</v>
      </c>
      <c r="AD87" s="4">
        <f t="shared" si="13"/>
        <v>2.3999999999999981</v>
      </c>
      <c r="AE87" s="4">
        <f t="shared" si="13"/>
        <v>2.299999999999998</v>
      </c>
      <c r="AF87" s="4">
        <f t="shared" si="13"/>
        <v>2.199999999999998</v>
      </c>
      <c r="AG87" s="4">
        <f t="shared" si="13"/>
        <v>2.0999999999999979</v>
      </c>
      <c r="AH87" s="4">
        <f t="shared" si="13"/>
        <v>1.9999999999999978</v>
      </c>
      <c r="AI87" s="4">
        <f t="shared" si="13"/>
        <v>1.8999999999999977</v>
      </c>
      <c r="AJ87" s="4">
        <f t="shared" si="13"/>
        <v>1.7999999999999976</v>
      </c>
      <c r="AK87" s="4">
        <f t="shared" si="13"/>
        <v>1.6999999999999975</v>
      </c>
    </row>
    <row r="88" spans="3:37" outlineLevel="1" x14ac:dyDescent="0.25">
      <c r="C88" s="38">
        <v>5.9</v>
      </c>
      <c r="D88" s="4">
        <f t="shared" si="13"/>
        <v>5.7</v>
      </c>
      <c r="E88" s="4">
        <f t="shared" si="13"/>
        <v>5.5</v>
      </c>
      <c r="F88" s="4">
        <f t="shared" si="13"/>
        <v>5.3</v>
      </c>
      <c r="G88" s="4">
        <f t="shared" si="13"/>
        <v>5.0999999999999996</v>
      </c>
      <c r="H88" s="4">
        <f t="shared" si="13"/>
        <v>4.8999999999999995</v>
      </c>
      <c r="I88" s="4">
        <f t="shared" si="13"/>
        <v>4.6999999999999993</v>
      </c>
      <c r="J88" s="4">
        <f t="shared" si="13"/>
        <v>4.4999999999999991</v>
      </c>
      <c r="K88" s="4">
        <f t="shared" si="13"/>
        <v>4.2999999999999989</v>
      </c>
      <c r="L88" s="4">
        <f t="shared" si="13"/>
        <v>4.1999999999999993</v>
      </c>
      <c r="M88" s="4">
        <f t="shared" si="13"/>
        <v>4.0999999999999996</v>
      </c>
      <c r="N88" s="4">
        <f t="shared" si="13"/>
        <v>3.9999999999999996</v>
      </c>
      <c r="O88" s="4">
        <f t="shared" si="13"/>
        <v>3.8999999999999995</v>
      </c>
      <c r="P88" s="4">
        <f t="shared" si="13"/>
        <v>3.7999999999999994</v>
      </c>
      <c r="Q88" s="4">
        <f t="shared" si="13"/>
        <v>3.6999999999999993</v>
      </c>
      <c r="R88" s="4">
        <f t="shared" si="13"/>
        <v>3.5999999999999992</v>
      </c>
      <c r="S88" s="4">
        <f t="shared" si="13"/>
        <v>3.4999999999999991</v>
      </c>
      <c r="T88" s="4">
        <f t="shared" si="13"/>
        <v>3.399999999999999</v>
      </c>
      <c r="U88" s="4">
        <f t="shared" ref="U88:AK88" si="14">(IF(T88&lt;=4.4,T88-$E$6,IF(AND(T88&gt;=4.5,T88&lt;=11.4),T88-$E$7,IF(AND(T88&gt;=11.5,T88&lt;=18.4),T88-$E$8,IF(AND(T88&gt;=18.5,T88&lt;=26.4),T88-$E$9,IF(AND(T88&gt;=26.4,T88&lt;=36),T88-$E$10,IF(T88&gt;=37,T88-$E$11)))))))</f>
        <v>3.2999999999999989</v>
      </c>
      <c r="V88" s="4">
        <f t="shared" si="14"/>
        <v>3.1999999999999988</v>
      </c>
      <c r="W88" s="4">
        <f t="shared" si="14"/>
        <v>3.0999999999999988</v>
      </c>
      <c r="X88" s="4">
        <f t="shared" si="14"/>
        <v>2.9999999999999987</v>
      </c>
      <c r="Y88" s="4">
        <f t="shared" si="14"/>
        <v>2.8999999999999986</v>
      </c>
      <c r="Z88" s="4">
        <f t="shared" si="14"/>
        <v>2.7999999999999985</v>
      </c>
      <c r="AA88" s="4">
        <f t="shared" si="14"/>
        <v>2.6999999999999984</v>
      </c>
      <c r="AB88" s="4">
        <f t="shared" si="14"/>
        <v>2.5999999999999983</v>
      </c>
      <c r="AC88" s="4">
        <f t="shared" si="14"/>
        <v>2.4999999999999982</v>
      </c>
      <c r="AD88" s="4">
        <f t="shared" si="14"/>
        <v>2.3999999999999981</v>
      </c>
      <c r="AE88" s="4">
        <f t="shared" si="14"/>
        <v>2.299999999999998</v>
      </c>
      <c r="AF88" s="4">
        <f t="shared" si="14"/>
        <v>2.199999999999998</v>
      </c>
      <c r="AG88" s="4">
        <f t="shared" si="14"/>
        <v>2.0999999999999979</v>
      </c>
      <c r="AH88" s="4">
        <f t="shared" si="14"/>
        <v>1.9999999999999978</v>
      </c>
      <c r="AI88" s="4">
        <f t="shared" si="14"/>
        <v>1.8999999999999977</v>
      </c>
      <c r="AJ88" s="4">
        <f t="shared" si="14"/>
        <v>1.7999999999999976</v>
      </c>
      <c r="AK88" s="4">
        <f t="shared" si="14"/>
        <v>1.6999999999999975</v>
      </c>
    </row>
    <row r="89" spans="3:37" outlineLevel="1" x14ac:dyDescent="0.25">
      <c r="C89" s="38">
        <v>6</v>
      </c>
      <c r="D89" s="4">
        <f t="shared" ref="D89:AK96" si="15">(IF(C89&lt;=4.4,C89-$E$6,IF(AND(C89&gt;=4.5,C89&lt;=11.4),C89-$E$7,IF(AND(C89&gt;=11.5,C89&lt;=18.4),C89-$E$8,IF(AND(C89&gt;=18.5,C89&lt;=26.4),C89-$E$9,IF(AND(C89&gt;=26.4,C89&lt;=36),C89-$E$10,IF(C89&gt;=37,C89-$E$11)))))))</f>
        <v>5.8</v>
      </c>
      <c r="E89" s="4">
        <f t="shared" si="15"/>
        <v>5.6</v>
      </c>
      <c r="F89" s="4">
        <f t="shared" si="15"/>
        <v>5.3999999999999995</v>
      </c>
      <c r="G89" s="4">
        <f t="shared" si="15"/>
        <v>5.1999999999999993</v>
      </c>
      <c r="H89" s="4">
        <f t="shared" si="15"/>
        <v>4.9999999999999991</v>
      </c>
      <c r="I89" s="4">
        <f t="shared" si="15"/>
        <v>4.7999999999999989</v>
      </c>
      <c r="J89" s="4">
        <f t="shared" si="15"/>
        <v>4.5999999999999988</v>
      </c>
      <c r="K89" s="4">
        <f t="shared" si="15"/>
        <v>4.3999999999999986</v>
      </c>
      <c r="L89" s="4">
        <f t="shared" si="15"/>
        <v>4.2999999999999989</v>
      </c>
      <c r="M89" s="4">
        <f t="shared" si="15"/>
        <v>4.1999999999999993</v>
      </c>
      <c r="N89" s="4">
        <f t="shared" si="15"/>
        <v>4.0999999999999996</v>
      </c>
      <c r="O89" s="4">
        <f t="shared" si="15"/>
        <v>3.9999999999999996</v>
      </c>
      <c r="P89" s="4">
        <f t="shared" si="15"/>
        <v>3.8999999999999995</v>
      </c>
      <c r="Q89" s="4">
        <f t="shared" si="15"/>
        <v>3.7999999999999994</v>
      </c>
      <c r="R89" s="4">
        <f t="shared" si="15"/>
        <v>3.6999999999999993</v>
      </c>
      <c r="S89" s="4">
        <f t="shared" si="15"/>
        <v>3.5999999999999992</v>
      </c>
      <c r="T89" s="4">
        <f t="shared" si="15"/>
        <v>3.4999999999999991</v>
      </c>
      <c r="U89" s="4">
        <f t="shared" si="15"/>
        <v>3.399999999999999</v>
      </c>
      <c r="V89" s="4">
        <f t="shared" si="15"/>
        <v>3.2999999999999989</v>
      </c>
      <c r="W89" s="4">
        <f t="shared" si="15"/>
        <v>3.1999999999999988</v>
      </c>
      <c r="X89" s="4">
        <f t="shared" si="15"/>
        <v>3.0999999999999988</v>
      </c>
      <c r="Y89" s="4">
        <f t="shared" si="15"/>
        <v>2.9999999999999987</v>
      </c>
      <c r="Z89" s="4">
        <f t="shared" si="15"/>
        <v>2.8999999999999986</v>
      </c>
      <c r="AA89" s="4">
        <f t="shared" si="15"/>
        <v>2.7999999999999985</v>
      </c>
      <c r="AB89" s="4">
        <f t="shared" si="15"/>
        <v>2.6999999999999984</v>
      </c>
      <c r="AC89" s="4">
        <f t="shared" si="15"/>
        <v>2.5999999999999983</v>
      </c>
      <c r="AD89" s="4">
        <f t="shared" si="15"/>
        <v>2.4999999999999982</v>
      </c>
      <c r="AE89" s="4">
        <f t="shared" si="15"/>
        <v>2.3999999999999981</v>
      </c>
      <c r="AF89" s="4">
        <f t="shared" si="15"/>
        <v>2.299999999999998</v>
      </c>
      <c r="AG89" s="4">
        <f t="shared" si="15"/>
        <v>2.199999999999998</v>
      </c>
      <c r="AH89" s="4">
        <f t="shared" si="15"/>
        <v>2.0999999999999979</v>
      </c>
      <c r="AI89" s="4">
        <f t="shared" si="15"/>
        <v>1.9999999999999978</v>
      </c>
      <c r="AJ89" s="4">
        <f t="shared" si="15"/>
        <v>1.8999999999999977</v>
      </c>
      <c r="AK89" s="4">
        <f t="shared" si="15"/>
        <v>1.7999999999999976</v>
      </c>
    </row>
    <row r="90" spans="3:37" outlineLevel="1" x14ac:dyDescent="0.25">
      <c r="C90" s="38">
        <v>6.1</v>
      </c>
      <c r="D90" s="4">
        <f t="shared" si="15"/>
        <v>5.8999999999999995</v>
      </c>
      <c r="E90" s="4">
        <f t="shared" si="15"/>
        <v>5.6999999999999993</v>
      </c>
      <c r="F90" s="4">
        <f t="shared" si="15"/>
        <v>5.4999999999999991</v>
      </c>
      <c r="G90" s="4">
        <f t="shared" si="15"/>
        <v>5.2999999999999989</v>
      </c>
      <c r="H90" s="4">
        <f t="shared" si="15"/>
        <v>5.0999999999999988</v>
      </c>
      <c r="I90" s="4">
        <f t="shared" si="15"/>
        <v>4.8999999999999986</v>
      </c>
      <c r="J90" s="4">
        <f t="shared" si="15"/>
        <v>4.6999999999999984</v>
      </c>
      <c r="K90" s="4">
        <f t="shared" si="15"/>
        <v>4.4999999999999982</v>
      </c>
      <c r="L90" s="4">
        <f t="shared" si="15"/>
        <v>4.299999999999998</v>
      </c>
      <c r="M90" s="4">
        <f t="shared" si="15"/>
        <v>4.1999999999999984</v>
      </c>
      <c r="N90" s="4">
        <f t="shared" si="15"/>
        <v>4.0999999999999988</v>
      </c>
      <c r="O90" s="4">
        <f t="shared" si="15"/>
        <v>3.9999999999999987</v>
      </c>
      <c r="P90" s="4">
        <f t="shared" si="15"/>
        <v>3.8999999999999986</v>
      </c>
      <c r="Q90" s="4">
        <f t="shared" si="15"/>
        <v>3.7999999999999985</v>
      </c>
      <c r="R90" s="4">
        <f t="shared" si="15"/>
        <v>3.6999999999999984</v>
      </c>
      <c r="S90" s="4">
        <f t="shared" si="15"/>
        <v>3.5999999999999983</v>
      </c>
      <c r="T90" s="4">
        <f t="shared" si="15"/>
        <v>3.4999999999999982</v>
      </c>
      <c r="U90" s="4">
        <f t="shared" si="15"/>
        <v>3.3999999999999981</v>
      </c>
      <c r="V90" s="4">
        <f t="shared" si="15"/>
        <v>3.299999999999998</v>
      </c>
      <c r="W90" s="4">
        <f t="shared" si="15"/>
        <v>3.199999999999998</v>
      </c>
      <c r="X90" s="4">
        <f t="shared" si="15"/>
        <v>3.0999999999999979</v>
      </c>
      <c r="Y90" s="4">
        <f t="shared" si="15"/>
        <v>2.9999999999999978</v>
      </c>
      <c r="Z90" s="4">
        <f t="shared" si="15"/>
        <v>2.8999999999999977</v>
      </c>
      <c r="AA90" s="4">
        <f t="shared" si="15"/>
        <v>2.7999999999999976</v>
      </c>
      <c r="AB90" s="4">
        <f t="shared" si="15"/>
        <v>2.6999999999999975</v>
      </c>
      <c r="AC90" s="4">
        <f t="shared" si="15"/>
        <v>2.5999999999999974</v>
      </c>
      <c r="AD90" s="4">
        <f t="shared" si="15"/>
        <v>2.4999999999999973</v>
      </c>
      <c r="AE90" s="4">
        <f t="shared" si="15"/>
        <v>2.3999999999999972</v>
      </c>
      <c r="AF90" s="4">
        <f t="shared" si="15"/>
        <v>2.2999999999999972</v>
      </c>
      <c r="AG90" s="4">
        <f t="shared" si="15"/>
        <v>2.1999999999999971</v>
      </c>
      <c r="AH90" s="4">
        <f t="shared" si="15"/>
        <v>2.099999999999997</v>
      </c>
      <c r="AI90" s="4">
        <f t="shared" si="15"/>
        <v>1.9999999999999969</v>
      </c>
      <c r="AJ90" s="4">
        <f t="shared" si="15"/>
        <v>1.8999999999999968</v>
      </c>
      <c r="AK90" s="4">
        <f t="shared" si="15"/>
        <v>1.7999999999999967</v>
      </c>
    </row>
    <row r="91" spans="3:37" outlineLevel="1" x14ac:dyDescent="0.25">
      <c r="C91" s="38">
        <v>6.2</v>
      </c>
      <c r="D91" s="4">
        <f t="shared" si="15"/>
        <v>6</v>
      </c>
      <c r="E91" s="4">
        <f t="shared" si="15"/>
        <v>5.8</v>
      </c>
      <c r="F91" s="4">
        <f t="shared" si="15"/>
        <v>5.6</v>
      </c>
      <c r="G91" s="4">
        <f t="shared" si="15"/>
        <v>5.3999999999999995</v>
      </c>
      <c r="H91" s="4">
        <f t="shared" si="15"/>
        <v>5.1999999999999993</v>
      </c>
      <c r="I91" s="4">
        <f t="shared" si="15"/>
        <v>4.9999999999999991</v>
      </c>
      <c r="J91" s="4">
        <f t="shared" si="15"/>
        <v>4.7999999999999989</v>
      </c>
      <c r="K91" s="4">
        <f t="shared" si="15"/>
        <v>4.5999999999999988</v>
      </c>
      <c r="L91" s="4">
        <f t="shared" si="15"/>
        <v>4.3999999999999986</v>
      </c>
      <c r="M91" s="4">
        <f t="shared" si="15"/>
        <v>4.2999999999999989</v>
      </c>
      <c r="N91" s="4">
        <f t="shared" si="15"/>
        <v>4.1999999999999993</v>
      </c>
      <c r="O91" s="4">
        <f t="shared" si="15"/>
        <v>4.0999999999999996</v>
      </c>
      <c r="P91" s="4">
        <f t="shared" si="15"/>
        <v>3.9999999999999996</v>
      </c>
      <c r="Q91" s="4">
        <f t="shared" si="15"/>
        <v>3.8999999999999995</v>
      </c>
      <c r="R91" s="4">
        <f t="shared" si="15"/>
        <v>3.7999999999999994</v>
      </c>
      <c r="S91" s="4">
        <f t="shared" si="15"/>
        <v>3.6999999999999993</v>
      </c>
      <c r="T91" s="4">
        <f t="shared" si="15"/>
        <v>3.5999999999999992</v>
      </c>
      <c r="U91" s="4">
        <f t="shared" si="15"/>
        <v>3.4999999999999991</v>
      </c>
      <c r="V91" s="4">
        <f t="shared" si="15"/>
        <v>3.399999999999999</v>
      </c>
      <c r="W91" s="4">
        <f t="shared" si="15"/>
        <v>3.2999999999999989</v>
      </c>
      <c r="X91" s="4">
        <f t="shared" si="15"/>
        <v>3.1999999999999988</v>
      </c>
      <c r="Y91" s="4">
        <f t="shared" si="15"/>
        <v>3.0999999999999988</v>
      </c>
      <c r="Z91" s="4">
        <f t="shared" si="15"/>
        <v>2.9999999999999987</v>
      </c>
      <c r="AA91" s="4">
        <f t="shared" si="15"/>
        <v>2.8999999999999986</v>
      </c>
      <c r="AB91" s="4">
        <f t="shared" si="15"/>
        <v>2.7999999999999985</v>
      </c>
      <c r="AC91" s="4">
        <f t="shared" si="15"/>
        <v>2.6999999999999984</v>
      </c>
      <c r="AD91" s="4">
        <f t="shared" si="15"/>
        <v>2.5999999999999983</v>
      </c>
      <c r="AE91" s="4">
        <f t="shared" si="15"/>
        <v>2.4999999999999982</v>
      </c>
      <c r="AF91" s="4">
        <f t="shared" si="15"/>
        <v>2.3999999999999981</v>
      </c>
      <c r="AG91" s="4">
        <f t="shared" si="15"/>
        <v>2.299999999999998</v>
      </c>
      <c r="AH91" s="4">
        <f t="shared" si="15"/>
        <v>2.199999999999998</v>
      </c>
      <c r="AI91" s="4">
        <f t="shared" si="15"/>
        <v>2.0999999999999979</v>
      </c>
      <c r="AJ91" s="4">
        <f t="shared" si="15"/>
        <v>1.9999999999999978</v>
      </c>
      <c r="AK91" s="4">
        <f t="shared" si="15"/>
        <v>1.8999999999999977</v>
      </c>
    </row>
    <row r="92" spans="3:37" outlineLevel="1" x14ac:dyDescent="0.25">
      <c r="C92" s="38">
        <v>6.3</v>
      </c>
      <c r="D92" s="4">
        <f t="shared" si="15"/>
        <v>6.1</v>
      </c>
      <c r="E92" s="4">
        <f t="shared" si="15"/>
        <v>5.8999999999999995</v>
      </c>
      <c r="F92" s="4">
        <f t="shared" si="15"/>
        <v>5.6999999999999993</v>
      </c>
      <c r="G92" s="4">
        <f t="shared" si="15"/>
        <v>5.4999999999999991</v>
      </c>
      <c r="H92" s="4">
        <f t="shared" si="15"/>
        <v>5.2999999999999989</v>
      </c>
      <c r="I92" s="4">
        <f t="shared" si="15"/>
        <v>5.0999999999999988</v>
      </c>
      <c r="J92" s="4">
        <f t="shared" si="15"/>
        <v>4.8999999999999986</v>
      </c>
      <c r="K92" s="4">
        <f t="shared" si="15"/>
        <v>4.6999999999999984</v>
      </c>
      <c r="L92" s="4">
        <f t="shared" si="15"/>
        <v>4.4999999999999982</v>
      </c>
      <c r="M92" s="4">
        <f t="shared" si="15"/>
        <v>4.299999999999998</v>
      </c>
      <c r="N92" s="4">
        <f t="shared" si="15"/>
        <v>4.1999999999999984</v>
      </c>
      <c r="O92" s="4">
        <f t="shared" si="15"/>
        <v>4.0999999999999988</v>
      </c>
      <c r="P92" s="4">
        <f t="shared" si="15"/>
        <v>3.9999999999999987</v>
      </c>
      <c r="Q92" s="4">
        <f t="shared" si="15"/>
        <v>3.8999999999999986</v>
      </c>
      <c r="R92" s="4">
        <f t="shared" si="15"/>
        <v>3.7999999999999985</v>
      </c>
      <c r="S92" s="4">
        <f t="shared" si="15"/>
        <v>3.6999999999999984</v>
      </c>
      <c r="T92" s="4">
        <f t="shared" si="15"/>
        <v>3.5999999999999983</v>
      </c>
      <c r="U92" s="4">
        <f t="shared" si="15"/>
        <v>3.4999999999999982</v>
      </c>
      <c r="V92" s="4">
        <f t="shared" si="15"/>
        <v>3.3999999999999981</v>
      </c>
      <c r="W92" s="4">
        <f t="shared" si="15"/>
        <v>3.299999999999998</v>
      </c>
      <c r="X92" s="4">
        <f t="shared" si="15"/>
        <v>3.199999999999998</v>
      </c>
      <c r="Y92" s="4">
        <f t="shared" si="15"/>
        <v>3.0999999999999979</v>
      </c>
      <c r="Z92" s="4">
        <f t="shared" si="15"/>
        <v>2.9999999999999978</v>
      </c>
      <c r="AA92" s="4">
        <f t="shared" si="15"/>
        <v>2.8999999999999977</v>
      </c>
      <c r="AB92" s="4">
        <f t="shared" si="15"/>
        <v>2.7999999999999976</v>
      </c>
      <c r="AC92" s="4">
        <f t="shared" si="15"/>
        <v>2.6999999999999975</v>
      </c>
      <c r="AD92" s="4">
        <f t="shared" si="15"/>
        <v>2.5999999999999974</v>
      </c>
      <c r="AE92" s="4">
        <f t="shared" si="15"/>
        <v>2.4999999999999973</v>
      </c>
      <c r="AF92" s="4">
        <f t="shared" si="15"/>
        <v>2.3999999999999972</v>
      </c>
      <c r="AG92" s="4">
        <f t="shared" si="15"/>
        <v>2.2999999999999972</v>
      </c>
      <c r="AH92" s="4">
        <f t="shared" si="15"/>
        <v>2.1999999999999971</v>
      </c>
      <c r="AI92" s="4">
        <f t="shared" si="15"/>
        <v>2.099999999999997</v>
      </c>
      <c r="AJ92" s="4">
        <f t="shared" si="15"/>
        <v>1.9999999999999969</v>
      </c>
      <c r="AK92" s="4">
        <f t="shared" si="15"/>
        <v>1.8999999999999968</v>
      </c>
    </row>
    <row r="93" spans="3:37" outlineLevel="1" x14ac:dyDescent="0.25">
      <c r="C93" s="38">
        <v>6.4</v>
      </c>
      <c r="D93" s="4">
        <f t="shared" si="15"/>
        <v>6.2</v>
      </c>
      <c r="E93" s="4">
        <f t="shared" si="15"/>
        <v>6</v>
      </c>
      <c r="F93" s="4">
        <f t="shared" si="15"/>
        <v>5.8</v>
      </c>
      <c r="G93" s="4">
        <f t="shared" si="15"/>
        <v>5.6</v>
      </c>
      <c r="H93" s="4">
        <f t="shared" si="15"/>
        <v>5.3999999999999995</v>
      </c>
      <c r="I93" s="4">
        <f t="shared" si="15"/>
        <v>5.1999999999999993</v>
      </c>
      <c r="J93" s="4">
        <f t="shared" si="15"/>
        <v>4.9999999999999991</v>
      </c>
      <c r="K93" s="4">
        <f t="shared" si="15"/>
        <v>4.7999999999999989</v>
      </c>
      <c r="L93" s="4">
        <f t="shared" si="15"/>
        <v>4.5999999999999988</v>
      </c>
      <c r="M93" s="4">
        <f t="shared" si="15"/>
        <v>4.3999999999999986</v>
      </c>
      <c r="N93" s="4">
        <f t="shared" si="15"/>
        <v>4.2999999999999989</v>
      </c>
      <c r="O93" s="4">
        <f t="shared" si="15"/>
        <v>4.1999999999999993</v>
      </c>
      <c r="P93" s="4">
        <f t="shared" si="15"/>
        <v>4.0999999999999996</v>
      </c>
      <c r="Q93" s="4">
        <f t="shared" si="15"/>
        <v>3.9999999999999996</v>
      </c>
      <c r="R93" s="4">
        <f t="shared" si="15"/>
        <v>3.8999999999999995</v>
      </c>
      <c r="S93" s="4">
        <f t="shared" si="15"/>
        <v>3.7999999999999994</v>
      </c>
      <c r="T93" s="4">
        <f t="shared" si="15"/>
        <v>3.6999999999999993</v>
      </c>
      <c r="U93" s="4">
        <f t="shared" si="15"/>
        <v>3.5999999999999992</v>
      </c>
      <c r="V93" s="4">
        <f t="shared" si="15"/>
        <v>3.4999999999999991</v>
      </c>
      <c r="W93" s="4">
        <f t="shared" si="15"/>
        <v>3.399999999999999</v>
      </c>
      <c r="X93" s="4">
        <f t="shared" si="15"/>
        <v>3.2999999999999989</v>
      </c>
      <c r="Y93" s="4">
        <f t="shared" si="15"/>
        <v>3.1999999999999988</v>
      </c>
      <c r="Z93" s="4">
        <f t="shared" si="15"/>
        <v>3.0999999999999988</v>
      </c>
      <c r="AA93" s="4">
        <f t="shared" si="15"/>
        <v>2.9999999999999987</v>
      </c>
      <c r="AB93" s="4">
        <f t="shared" si="15"/>
        <v>2.8999999999999986</v>
      </c>
      <c r="AC93" s="4">
        <f t="shared" si="15"/>
        <v>2.7999999999999985</v>
      </c>
      <c r="AD93" s="4">
        <f t="shared" si="15"/>
        <v>2.6999999999999984</v>
      </c>
      <c r="AE93" s="4">
        <f t="shared" si="15"/>
        <v>2.5999999999999983</v>
      </c>
      <c r="AF93" s="4">
        <f t="shared" si="15"/>
        <v>2.4999999999999982</v>
      </c>
      <c r="AG93" s="4">
        <f t="shared" si="15"/>
        <v>2.3999999999999981</v>
      </c>
      <c r="AH93" s="4">
        <f t="shared" si="15"/>
        <v>2.299999999999998</v>
      </c>
      <c r="AI93" s="4">
        <f t="shared" si="15"/>
        <v>2.199999999999998</v>
      </c>
      <c r="AJ93" s="4">
        <f t="shared" si="15"/>
        <v>2.0999999999999979</v>
      </c>
      <c r="AK93" s="4">
        <f t="shared" si="15"/>
        <v>1.9999999999999978</v>
      </c>
    </row>
    <row r="94" spans="3:37" outlineLevel="1" x14ac:dyDescent="0.25">
      <c r="C94" s="38">
        <v>6.5</v>
      </c>
      <c r="D94" s="4">
        <f t="shared" si="15"/>
        <v>6.3</v>
      </c>
      <c r="E94" s="4">
        <f t="shared" si="15"/>
        <v>6.1</v>
      </c>
      <c r="F94" s="4">
        <f t="shared" si="15"/>
        <v>5.8999999999999995</v>
      </c>
      <c r="G94" s="4">
        <f t="shared" si="15"/>
        <v>5.6999999999999993</v>
      </c>
      <c r="H94" s="4">
        <f t="shared" si="15"/>
        <v>5.4999999999999991</v>
      </c>
      <c r="I94" s="4">
        <f t="shared" si="15"/>
        <v>5.2999999999999989</v>
      </c>
      <c r="J94" s="4">
        <f t="shared" si="15"/>
        <v>5.0999999999999988</v>
      </c>
      <c r="K94" s="4">
        <f t="shared" si="15"/>
        <v>4.8999999999999986</v>
      </c>
      <c r="L94" s="4">
        <f t="shared" si="15"/>
        <v>4.6999999999999984</v>
      </c>
      <c r="M94" s="4">
        <f t="shared" si="15"/>
        <v>4.4999999999999982</v>
      </c>
      <c r="N94" s="4">
        <f t="shared" si="15"/>
        <v>4.299999999999998</v>
      </c>
      <c r="O94" s="4">
        <f t="shared" si="15"/>
        <v>4.1999999999999984</v>
      </c>
      <c r="P94" s="4">
        <f t="shared" si="15"/>
        <v>4.0999999999999988</v>
      </c>
      <c r="Q94" s="4">
        <f t="shared" si="15"/>
        <v>3.9999999999999987</v>
      </c>
      <c r="R94" s="4">
        <f t="shared" si="15"/>
        <v>3.8999999999999986</v>
      </c>
      <c r="S94" s="4">
        <f t="shared" si="15"/>
        <v>3.7999999999999985</v>
      </c>
      <c r="T94" s="4">
        <f t="shared" si="15"/>
        <v>3.6999999999999984</v>
      </c>
      <c r="U94" s="4">
        <f t="shared" si="15"/>
        <v>3.5999999999999983</v>
      </c>
      <c r="V94" s="4">
        <f t="shared" si="15"/>
        <v>3.4999999999999982</v>
      </c>
      <c r="W94" s="4">
        <f t="shared" si="15"/>
        <v>3.3999999999999981</v>
      </c>
      <c r="X94" s="4">
        <f t="shared" si="15"/>
        <v>3.299999999999998</v>
      </c>
      <c r="Y94" s="4">
        <f t="shared" si="15"/>
        <v>3.199999999999998</v>
      </c>
      <c r="Z94" s="4">
        <f t="shared" si="15"/>
        <v>3.0999999999999979</v>
      </c>
      <c r="AA94" s="4">
        <f t="shared" si="15"/>
        <v>2.9999999999999978</v>
      </c>
      <c r="AB94" s="4">
        <f t="shared" si="15"/>
        <v>2.8999999999999977</v>
      </c>
      <c r="AC94" s="4">
        <f t="shared" si="15"/>
        <v>2.7999999999999976</v>
      </c>
      <c r="AD94" s="4">
        <f t="shared" si="15"/>
        <v>2.6999999999999975</v>
      </c>
      <c r="AE94" s="4">
        <f t="shared" si="15"/>
        <v>2.5999999999999974</v>
      </c>
      <c r="AF94" s="4">
        <f t="shared" si="15"/>
        <v>2.4999999999999973</v>
      </c>
      <c r="AG94" s="4">
        <f t="shared" si="15"/>
        <v>2.3999999999999972</v>
      </c>
      <c r="AH94" s="4">
        <f t="shared" si="15"/>
        <v>2.2999999999999972</v>
      </c>
      <c r="AI94" s="4">
        <f t="shared" si="15"/>
        <v>2.1999999999999971</v>
      </c>
      <c r="AJ94" s="4">
        <f t="shared" si="15"/>
        <v>2.099999999999997</v>
      </c>
      <c r="AK94" s="4">
        <f t="shared" si="15"/>
        <v>1.9999999999999969</v>
      </c>
    </row>
    <row r="95" spans="3:37" outlineLevel="1" x14ac:dyDescent="0.25">
      <c r="C95" s="38">
        <v>6.6</v>
      </c>
      <c r="D95" s="4">
        <f t="shared" si="15"/>
        <v>6.3999999999999995</v>
      </c>
      <c r="E95" s="4">
        <f t="shared" si="15"/>
        <v>6.1999999999999993</v>
      </c>
      <c r="F95" s="4">
        <f t="shared" si="15"/>
        <v>5.9999999999999991</v>
      </c>
      <c r="G95" s="4">
        <f t="shared" si="15"/>
        <v>5.7999999999999989</v>
      </c>
      <c r="H95" s="4">
        <f t="shared" si="15"/>
        <v>5.5999999999999988</v>
      </c>
      <c r="I95" s="4">
        <f t="shared" si="15"/>
        <v>5.3999999999999986</v>
      </c>
      <c r="J95" s="4">
        <f t="shared" si="15"/>
        <v>5.1999999999999984</v>
      </c>
      <c r="K95" s="4">
        <f t="shared" si="15"/>
        <v>4.9999999999999982</v>
      </c>
      <c r="L95" s="4">
        <f t="shared" si="15"/>
        <v>4.799999999999998</v>
      </c>
      <c r="M95" s="4">
        <f t="shared" si="15"/>
        <v>4.5999999999999979</v>
      </c>
      <c r="N95" s="4">
        <f t="shared" si="15"/>
        <v>4.3999999999999977</v>
      </c>
      <c r="O95" s="4">
        <f t="shared" si="15"/>
        <v>4.299999999999998</v>
      </c>
      <c r="P95" s="4">
        <f t="shared" si="15"/>
        <v>4.1999999999999984</v>
      </c>
      <c r="Q95" s="4">
        <f t="shared" si="15"/>
        <v>4.0999999999999988</v>
      </c>
      <c r="R95" s="4">
        <f t="shared" si="15"/>
        <v>3.9999999999999987</v>
      </c>
      <c r="S95" s="4">
        <f t="shared" si="15"/>
        <v>3.8999999999999986</v>
      </c>
      <c r="T95" s="4">
        <f t="shared" si="15"/>
        <v>3.7999999999999985</v>
      </c>
      <c r="U95" s="4">
        <f t="shared" si="15"/>
        <v>3.6999999999999984</v>
      </c>
      <c r="V95" s="4">
        <f t="shared" si="15"/>
        <v>3.5999999999999983</v>
      </c>
      <c r="W95" s="4">
        <f t="shared" si="15"/>
        <v>3.4999999999999982</v>
      </c>
      <c r="X95" s="4">
        <f t="shared" si="15"/>
        <v>3.3999999999999981</v>
      </c>
      <c r="Y95" s="4">
        <f t="shared" si="15"/>
        <v>3.299999999999998</v>
      </c>
      <c r="Z95" s="4">
        <f t="shared" si="15"/>
        <v>3.199999999999998</v>
      </c>
      <c r="AA95" s="4">
        <f t="shared" si="15"/>
        <v>3.0999999999999979</v>
      </c>
      <c r="AB95" s="4">
        <f t="shared" si="15"/>
        <v>2.9999999999999978</v>
      </c>
      <c r="AC95" s="4">
        <f t="shared" si="15"/>
        <v>2.8999999999999977</v>
      </c>
      <c r="AD95" s="4">
        <f t="shared" si="15"/>
        <v>2.7999999999999976</v>
      </c>
      <c r="AE95" s="4">
        <f t="shared" si="15"/>
        <v>2.6999999999999975</v>
      </c>
      <c r="AF95" s="4">
        <f t="shared" si="15"/>
        <v>2.5999999999999974</v>
      </c>
      <c r="AG95" s="4">
        <f t="shared" si="15"/>
        <v>2.4999999999999973</v>
      </c>
      <c r="AH95" s="4">
        <f t="shared" si="15"/>
        <v>2.3999999999999972</v>
      </c>
      <c r="AI95" s="4">
        <f t="shared" si="15"/>
        <v>2.2999999999999972</v>
      </c>
      <c r="AJ95" s="4">
        <f t="shared" si="15"/>
        <v>2.1999999999999971</v>
      </c>
      <c r="AK95" s="4">
        <f t="shared" si="15"/>
        <v>2.099999999999997</v>
      </c>
    </row>
    <row r="96" spans="3:37" outlineLevel="1" x14ac:dyDescent="0.25">
      <c r="C96" s="38">
        <v>6.7</v>
      </c>
      <c r="D96" s="4">
        <f t="shared" si="15"/>
        <v>6.5</v>
      </c>
      <c r="E96" s="4">
        <f t="shared" si="15"/>
        <v>6.3</v>
      </c>
      <c r="F96" s="4">
        <f t="shared" si="15"/>
        <v>6.1</v>
      </c>
      <c r="G96" s="4">
        <f t="shared" si="15"/>
        <v>5.8999999999999995</v>
      </c>
      <c r="H96" s="4">
        <f t="shared" si="15"/>
        <v>5.6999999999999993</v>
      </c>
      <c r="I96" s="4">
        <f t="shared" si="15"/>
        <v>5.4999999999999991</v>
      </c>
      <c r="J96" s="4">
        <f t="shared" si="15"/>
        <v>5.2999999999999989</v>
      </c>
      <c r="K96" s="4">
        <f t="shared" si="15"/>
        <v>5.0999999999999988</v>
      </c>
      <c r="L96" s="4">
        <f t="shared" si="15"/>
        <v>4.8999999999999986</v>
      </c>
      <c r="M96" s="4">
        <f t="shared" si="15"/>
        <v>4.6999999999999984</v>
      </c>
      <c r="N96" s="4">
        <f t="shared" si="15"/>
        <v>4.4999999999999982</v>
      </c>
      <c r="O96" s="4">
        <f t="shared" si="15"/>
        <v>4.299999999999998</v>
      </c>
      <c r="P96" s="4">
        <f t="shared" si="15"/>
        <v>4.1999999999999984</v>
      </c>
      <c r="Q96" s="4">
        <f t="shared" si="15"/>
        <v>4.0999999999999988</v>
      </c>
      <c r="R96" s="4">
        <f t="shared" si="15"/>
        <v>3.9999999999999987</v>
      </c>
      <c r="S96" s="4">
        <f t="shared" si="15"/>
        <v>3.8999999999999986</v>
      </c>
      <c r="T96" s="4">
        <f t="shared" si="15"/>
        <v>3.7999999999999985</v>
      </c>
      <c r="U96" s="4">
        <f t="shared" ref="U96:AK96" si="16">(IF(T96&lt;=4.4,T96-$E$6,IF(AND(T96&gt;=4.5,T96&lt;=11.4),T96-$E$7,IF(AND(T96&gt;=11.5,T96&lt;=18.4),T96-$E$8,IF(AND(T96&gt;=18.5,T96&lt;=26.4),T96-$E$9,IF(AND(T96&gt;=26.4,T96&lt;=36),T96-$E$10,IF(T96&gt;=37,T96-$E$11)))))))</f>
        <v>3.6999999999999984</v>
      </c>
      <c r="V96" s="4">
        <f t="shared" si="16"/>
        <v>3.5999999999999983</v>
      </c>
      <c r="W96" s="4">
        <f t="shared" si="16"/>
        <v>3.4999999999999982</v>
      </c>
      <c r="X96" s="4">
        <f t="shared" si="16"/>
        <v>3.3999999999999981</v>
      </c>
      <c r="Y96" s="4">
        <f t="shared" si="16"/>
        <v>3.299999999999998</v>
      </c>
      <c r="Z96" s="4">
        <f t="shared" si="16"/>
        <v>3.199999999999998</v>
      </c>
      <c r="AA96" s="4">
        <f t="shared" si="16"/>
        <v>3.0999999999999979</v>
      </c>
      <c r="AB96" s="4">
        <f t="shared" si="16"/>
        <v>2.9999999999999978</v>
      </c>
      <c r="AC96" s="4">
        <f t="shared" si="16"/>
        <v>2.8999999999999977</v>
      </c>
      <c r="AD96" s="4">
        <f t="shared" si="16"/>
        <v>2.7999999999999976</v>
      </c>
      <c r="AE96" s="4">
        <f t="shared" si="16"/>
        <v>2.6999999999999975</v>
      </c>
      <c r="AF96" s="4">
        <f t="shared" si="16"/>
        <v>2.5999999999999974</v>
      </c>
      <c r="AG96" s="4">
        <f t="shared" si="16"/>
        <v>2.4999999999999973</v>
      </c>
      <c r="AH96" s="4">
        <f t="shared" si="16"/>
        <v>2.3999999999999972</v>
      </c>
      <c r="AI96" s="4">
        <f t="shared" si="16"/>
        <v>2.2999999999999972</v>
      </c>
      <c r="AJ96" s="4">
        <f t="shared" si="16"/>
        <v>2.1999999999999971</v>
      </c>
      <c r="AK96" s="4">
        <f t="shared" si="16"/>
        <v>2.099999999999997</v>
      </c>
    </row>
    <row r="97" spans="3:37" outlineLevel="1" x14ac:dyDescent="0.25">
      <c r="C97" s="38">
        <v>6.8</v>
      </c>
      <c r="D97" s="4">
        <f t="shared" ref="D97:AK104" si="17">(IF(C97&lt;=4.4,C97-$E$6,IF(AND(C97&gt;=4.5,C97&lt;=11.4),C97-$E$7,IF(AND(C97&gt;=11.5,C97&lt;=18.4),C97-$E$8,IF(AND(C97&gt;=18.5,C97&lt;=26.4),C97-$E$9,IF(AND(C97&gt;=26.4,C97&lt;=36),C97-$E$10,IF(C97&gt;=37,C97-$E$11)))))))</f>
        <v>6.6</v>
      </c>
      <c r="E97" s="4">
        <f t="shared" si="17"/>
        <v>6.3999999999999995</v>
      </c>
      <c r="F97" s="4">
        <f t="shared" si="17"/>
        <v>6.1999999999999993</v>
      </c>
      <c r="G97" s="4">
        <f t="shared" si="17"/>
        <v>5.9999999999999991</v>
      </c>
      <c r="H97" s="4">
        <f t="shared" si="17"/>
        <v>5.7999999999999989</v>
      </c>
      <c r="I97" s="4">
        <f t="shared" si="17"/>
        <v>5.5999999999999988</v>
      </c>
      <c r="J97" s="4">
        <f t="shared" si="17"/>
        <v>5.3999999999999986</v>
      </c>
      <c r="K97" s="4">
        <f t="shared" si="17"/>
        <v>5.1999999999999984</v>
      </c>
      <c r="L97" s="4">
        <f t="shared" si="17"/>
        <v>4.9999999999999982</v>
      </c>
      <c r="M97" s="4">
        <f t="shared" si="17"/>
        <v>4.799999999999998</v>
      </c>
      <c r="N97" s="4">
        <f t="shared" si="17"/>
        <v>4.5999999999999979</v>
      </c>
      <c r="O97" s="4">
        <f t="shared" si="17"/>
        <v>4.3999999999999977</v>
      </c>
      <c r="P97" s="4">
        <f t="shared" si="17"/>
        <v>4.299999999999998</v>
      </c>
      <c r="Q97" s="4">
        <f t="shared" si="17"/>
        <v>4.1999999999999984</v>
      </c>
      <c r="R97" s="4">
        <f t="shared" si="17"/>
        <v>4.0999999999999988</v>
      </c>
      <c r="S97" s="4">
        <f t="shared" si="17"/>
        <v>3.9999999999999987</v>
      </c>
      <c r="T97" s="4">
        <f t="shared" si="17"/>
        <v>3.8999999999999986</v>
      </c>
      <c r="U97" s="4">
        <f t="shared" si="17"/>
        <v>3.7999999999999985</v>
      </c>
      <c r="V97" s="4">
        <f t="shared" si="17"/>
        <v>3.6999999999999984</v>
      </c>
      <c r="W97" s="4">
        <f t="shared" si="17"/>
        <v>3.5999999999999983</v>
      </c>
      <c r="X97" s="4">
        <f t="shared" si="17"/>
        <v>3.4999999999999982</v>
      </c>
      <c r="Y97" s="4">
        <f t="shared" si="17"/>
        <v>3.3999999999999981</v>
      </c>
      <c r="Z97" s="4">
        <f t="shared" si="17"/>
        <v>3.299999999999998</v>
      </c>
      <c r="AA97" s="4">
        <f t="shared" si="17"/>
        <v>3.199999999999998</v>
      </c>
      <c r="AB97" s="4">
        <f t="shared" si="17"/>
        <v>3.0999999999999979</v>
      </c>
      <c r="AC97" s="4">
        <f t="shared" si="17"/>
        <v>2.9999999999999978</v>
      </c>
      <c r="AD97" s="4">
        <f t="shared" si="17"/>
        <v>2.8999999999999977</v>
      </c>
      <c r="AE97" s="4">
        <f t="shared" si="17"/>
        <v>2.7999999999999976</v>
      </c>
      <c r="AF97" s="4">
        <f t="shared" si="17"/>
        <v>2.6999999999999975</v>
      </c>
      <c r="AG97" s="4">
        <f t="shared" si="17"/>
        <v>2.5999999999999974</v>
      </c>
      <c r="AH97" s="4">
        <f t="shared" si="17"/>
        <v>2.4999999999999973</v>
      </c>
      <c r="AI97" s="4">
        <f t="shared" si="17"/>
        <v>2.3999999999999972</v>
      </c>
      <c r="AJ97" s="4">
        <f t="shared" si="17"/>
        <v>2.2999999999999972</v>
      </c>
      <c r="AK97" s="4">
        <f t="shared" si="17"/>
        <v>2.1999999999999971</v>
      </c>
    </row>
    <row r="98" spans="3:37" outlineLevel="1" x14ac:dyDescent="0.25">
      <c r="C98" s="38">
        <v>6.9</v>
      </c>
      <c r="D98" s="4">
        <f t="shared" si="17"/>
        <v>6.7</v>
      </c>
      <c r="E98" s="4">
        <f t="shared" si="17"/>
        <v>6.5</v>
      </c>
      <c r="F98" s="4">
        <f t="shared" si="17"/>
        <v>6.3</v>
      </c>
      <c r="G98" s="4">
        <f t="shared" si="17"/>
        <v>6.1</v>
      </c>
      <c r="H98" s="4">
        <f t="shared" si="17"/>
        <v>5.8999999999999995</v>
      </c>
      <c r="I98" s="4">
        <f t="shared" si="17"/>
        <v>5.6999999999999993</v>
      </c>
      <c r="J98" s="4">
        <f t="shared" si="17"/>
        <v>5.4999999999999991</v>
      </c>
      <c r="K98" s="4">
        <f t="shared" si="17"/>
        <v>5.2999999999999989</v>
      </c>
      <c r="L98" s="4">
        <f t="shared" si="17"/>
        <v>5.0999999999999988</v>
      </c>
      <c r="M98" s="4">
        <f t="shared" si="17"/>
        <v>4.8999999999999986</v>
      </c>
      <c r="N98" s="4">
        <f t="shared" si="17"/>
        <v>4.6999999999999984</v>
      </c>
      <c r="O98" s="4">
        <f t="shared" si="17"/>
        <v>4.4999999999999982</v>
      </c>
      <c r="P98" s="4">
        <f t="shared" si="17"/>
        <v>4.299999999999998</v>
      </c>
      <c r="Q98" s="4">
        <f t="shared" si="17"/>
        <v>4.1999999999999984</v>
      </c>
      <c r="R98" s="4">
        <f t="shared" si="17"/>
        <v>4.0999999999999988</v>
      </c>
      <c r="S98" s="4">
        <f t="shared" si="17"/>
        <v>3.9999999999999987</v>
      </c>
      <c r="T98" s="4">
        <f t="shared" si="17"/>
        <v>3.8999999999999986</v>
      </c>
      <c r="U98" s="4">
        <f t="shared" si="17"/>
        <v>3.7999999999999985</v>
      </c>
      <c r="V98" s="4">
        <f t="shared" si="17"/>
        <v>3.6999999999999984</v>
      </c>
      <c r="W98" s="4">
        <f t="shared" si="17"/>
        <v>3.5999999999999983</v>
      </c>
      <c r="X98" s="4">
        <f t="shared" si="17"/>
        <v>3.4999999999999982</v>
      </c>
      <c r="Y98" s="4">
        <f t="shared" si="17"/>
        <v>3.3999999999999981</v>
      </c>
      <c r="Z98" s="4">
        <f t="shared" si="17"/>
        <v>3.299999999999998</v>
      </c>
      <c r="AA98" s="4">
        <f t="shared" si="17"/>
        <v>3.199999999999998</v>
      </c>
      <c r="AB98" s="4">
        <f t="shared" si="17"/>
        <v>3.0999999999999979</v>
      </c>
      <c r="AC98" s="4">
        <f t="shared" si="17"/>
        <v>2.9999999999999978</v>
      </c>
      <c r="AD98" s="4">
        <f t="shared" si="17"/>
        <v>2.8999999999999977</v>
      </c>
      <c r="AE98" s="4">
        <f t="shared" si="17"/>
        <v>2.7999999999999976</v>
      </c>
      <c r="AF98" s="4">
        <f t="shared" si="17"/>
        <v>2.6999999999999975</v>
      </c>
      <c r="AG98" s="4">
        <f t="shared" si="17"/>
        <v>2.5999999999999974</v>
      </c>
      <c r="AH98" s="4">
        <f t="shared" si="17"/>
        <v>2.4999999999999973</v>
      </c>
      <c r="AI98" s="4">
        <f t="shared" si="17"/>
        <v>2.3999999999999972</v>
      </c>
      <c r="AJ98" s="4">
        <f t="shared" si="17"/>
        <v>2.2999999999999972</v>
      </c>
      <c r="AK98" s="4">
        <f t="shared" si="17"/>
        <v>2.1999999999999971</v>
      </c>
    </row>
    <row r="99" spans="3:37" outlineLevel="1" x14ac:dyDescent="0.25">
      <c r="C99" s="38">
        <v>7</v>
      </c>
      <c r="D99" s="4">
        <f t="shared" si="17"/>
        <v>6.8</v>
      </c>
      <c r="E99" s="4">
        <f t="shared" si="17"/>
        <v>6.6</v>
      </c>
      <c r="F99" s="4">
        <f t="shared" si="17"/>
        <v>6.3999999999999995</v>
      </c>
      <c r="G99" s="4">
        <f t="shared" si="17"/>
        <v>6.1999999999999993</v>
      </c>
      <c r="H99" s="4">
        <f t="shared" si="17"/>
        <v>5.9999999999999991</v>
      </c>
      <c r="I99" s="4">
        <f t="shared" si="17"/>
        <v>5.7999999999999989</v>
      </c>
      <c r="J99" s="4">
        <f t="shared" si="17"/>
        <v>5.5999999999999988</v>
      </c>
      <c r="K99" s="4">
        <f t="shared" si="17"/>
        <v>5.3999999999999986</v>
      </c>
      <c r="L99" s="4">
        <f t="shared" si="17"/>
        <v>5.1999999999999984</v>
      </c>
      <c r="M99" s="4">
        <f t="shared" si="17"/>
        <v>4.9999999999999982</v>
      </c>
      <c r="N99" s="4">
        <f t="shared" si="17"/>
        <v>4.799999999999998</v>
      </c>
      <c r="O99" s="4">
        <f t="shared" si="17"/>
        <v>4.5999999999999979</v>
      </c>
      <c r="P99" s="4">
        <f t="shared" si="17"/>
        <v>4.3999999999999977</v>
      </c>
      <c r="Q99" s="4">
        <f t="shared" si="17"/>
        <v>4.299999999999998</v>
      </c>
      <c r="R99" s="4">
        <f t="shared" si="17"/>
        <v>4.1999999999999984</v>
      </c>
      <c r="S99" s="4">
        <f t="shared" si="17"/>
        <v>4.0999999999999988</v>
      </c>
      <c r="T99" s="4">
        <f t="shared" si="17"/>
        <v>3.9999999999999987</v>
      </c>
      <c r="U99" s="4">
        <f t="shared" si="17"/>
        <v>3.8999999999999986</v>
      </c>
      <c r="V99" s="4">
        <f t="shared" si="17"/>
        <v>3.7999999999999985</v>
      </c>
      <c r="W99" s="4">
        <f t="shared" si="17"/>
        <v>3.6999999999999984</v>
      </c>
      <c r="X99" s="4">
        <f t="shared" si="17"/>
        <v>3.5999999999999983</v>
      </c>
      <c r="Y99" s="4">
        <f t="shared" si="17"/>
        <v>3.4999999999999982</v>
      </c>
      <c r="Z99" s="4">
        <f t="shared" si="17"/>
        <v>3.3999999999999981</v>
      </c>
      <c r="AA99" s="4">
        <f t="shared" si="17"/>
        <v>3.299999999999998</v>
      </c>
      <c r="AB99" s="4">
        <f t="shared" si="17"/>
        <v>3.199999999999998</v>
      </c>
      <c r="AC99" s="4">
        <f t="shared" si="17"/>
        <v>3.0999999999999979</v>
      </c>
      <c r="AD99" s="4">
        <f t="shared" si="17"/>
        <v>2.9999999999999978</v>
      </c>
      <c r="AE99" s="4">
        <f t="shared" si="17"/>
        <v>2.8999999999999977</v>
      </c>
      <c r="AF99" s="4">
        <f t="shared" si="17"/>
        <v>2.7999999999999976</v>
      </c>
      <c r="AG99" s="4">
        <f t="shared" si="17"/>
        <v>2.6999999999999975</v>
      </c>
      <c r="AH99" s="4">
        <f t="shared" si="17"/>
        <v>2.5999999999999974</v>
      </c>
      <c r="AI99" s="4">
        <f t="shared" si="17"/>
        <v>2.4999999999999973</v>
      </c>
      <c r="AJ99" s="4">
        <f t="shared" si="17"/>
        <v>2.3999999999999972</v>
      </c>
      <c r="AK99" s="4">
        <f t="shared" si="17"/>
        <v>2.2999999999999972</v>
      </c>
    </row>
    <row r="100" spans="3:37" outlineLevel="1" x14ac:dyDescent="0.25">
      <c r="C100" s="38">
        <v>7.1</v>
      </c>
      <c r="D100" s="4">
        <f t="shared" si="17"/>
        <v>6.8999999999999995</v>
      </c>
      <c r="E100" s="4">
        <f t="shared" si="17"/>
        <v>6.6999999999999993</v>
      </c>
      <c r="F100" s="4">
        <f t="shared" si="17"/>
        <v>6.4999999999999991</v>
      </c>
      <c r="G100" s="4">
        <f t="shared" si="17"/>
        <v>6.2999999999999989</v>
      </c>
      <c r="H100" s="4">
        <f t="shared" si="17"/>
        <v>6.0999999999999988</v>
      </c>
      <c r="I100" s="4">
        <f t="shared" si="17"/>
        <v>5.8999999999999986</v>
      </c>
      <c r="J100" s="4">
        <f t="shared" si="17"/>
        <v>5.6999999999999984</v>
      </c>
      <c r="K100" s="4">
        <f t="shared" si="17"/>
        <v>5.4999999999999982</v>
      </c>
      <c r="L100" s="4">
        <f t="shared" si="17"/>
        <v>5.299999999999998</v>
      </c>
      <c r="M100" s="4">
        <f t="shared" si="17"/>
        <v>5.0999999999999979</v>
      </c>
      <c r="N100" s="4">
        <f t="shared" si="17"/>
        <v>4.8999999999999977</v>
      </c>
      <c r="O100" s="4">
        <f t="shared" si="17"/>
        <v>4.6999999999999975</v>
      </c>
      <c r="P100" s="4">
        <f t="shared" si="17"/>
        <v>4.4999999999999973</v>
      </c>
      <c r="Q100" s="4">
        <f t="shared" si="17"/>
        <v>4.2999999999999972</v>
      </c>
      <c r="R100" s="4">
        <f t="shared" si="17"/>
        <v>4.1999999999999975</v>
      </c>
      <c r="S100" s="4">
        <f t="shared" si="17"/>
        <v>4.0999999999999979</v>
      </c>
      <c r="T100" s="4">
        <f t="shared" si="17"/>
        <v>3.9999999999999978</v>
      </c>
      <c r="U100" s="4">
        <f t="shared" si="17"/>
        <v>3.8999999999999977</v>
      </c>
      <c r="V100" s="4">
        <f t="shared" si="17"/>
        <v>3.7999999999999976</v>
      </c>
      <c r="W100" s="4">
        <f t="shared" si="17"/>
        <v>3.6999999999999975</v>
      </c>
      <c r="X100" s="4">
        <f t="shared" si="17"/>
        <v>3.5999999999999974</v>
      </c>
      <c r="Y100" s="4">
        <f t="shared" si="17"/>
        <v>3.4999999999999973</v>
      </c>
      <c r="Z100" s="4">
        <f t="shared" si="17"/>
        <v>3.3999999999999972</v>
      </c>
      <c r="AA100" s="4">
        <f t="shared" si="17"/>
        <v>3.2999999999999972</v>
      </c>
      <c r="AB100" s="4">
        <f t="shared" si="17"/>
        <v>3.1999999999999971</v>
      </c>
      <c r="AC100" s="4">
        <f t="shared" si="17"/>
        <v>3.099999999999997</v>
      </c>
      <c r="AD100" s="4">
        <f t="shared" si="17"/>
        <v>2.9999999999999969</v>
      </c>
      <c r="AE100" s="4">
        <f t="shared" si="17"/>
        <v>2.8999999999999968</v>
      </c>
      <c r="AF100" s="4">
        <f t="shared" si="17"/>
        <v>2.7999999999999967</v>
      </c>
      <c r="AG100" s="4">
        <f t="shared" si="17"/>
        <v>2.6999999999999966</v>
      </c>
      <c r="AH100" s="4">
        <f t="shared" si="17"/>
        <v>2.5999999999999965</v>
      </c>
      <c r="AI100" s="4">
        <f t="shared" si="17"/>
        <v>2.4999999999999964</v>
      </c>
      <c r="AJ100" s="4">
        <f t="shared" si="17"/>
        <v>2.3999999999999964</v>
      </c>
      <c r="AK100" s="4">
        <f t="shared" si="17"/>
        <v>2.2999999999999963</v>
      </c>
    </row>
    <row r="101" spans="3:37" outlineLevel="1" x14ac:dyDescent="0.25">
      <c r="C101" s="38">
        <v>7.2</v>
      </c>
      <c r="D101" s="4">
        <f t="shared" si="17"/>
        <v>7</v>
      </c>
      <c r="E101" s="4">
        <f t="shared" si="17"/>
        <v>6.8</v>
      </c>
      <c r="F101" s="4">
        <f t="shared" si="17"/>
        <v>6.6</v>
      </c>
      <c r="G101" s="4">
        <f t="shared" si="17"/>
        <v>6.3999999999999995</v>
      </c>
      <c r="H101" s="4">
        <f t="shared" si="17"/>
        <v>6.1999999999999993</v>
      </c>
      <c r="I101" s="4">
        <f t="shared" si="17"/>
        <v>5.9999999999999991</v>
      </c>
      <c r="J101" s="4">
        <f t="shared" si="17"/>
        <v>5.7999999999999989</v>
      </c>
      <c r="K101" s="4">
        <f t="shared" si="17"/>
        <v>5.5999999999999988</v>
      </c>
      <c r="L101" s="4">
        <f t="shared" si="17"/>
        <v>5.3999999999999986</v>
      </c>
      <c r="M101" s="4">
        <f t="shared" si="17"/>
        <v>5.1999999999999984</v>
      </c>
      <c r="N101" s="4">
        <f t="shared" si="17"/>
        <v>4.9999999999999982</v>
      </c>
      <c r="O101" s="4">
        <f t="shared" si="17"/>
        <v>4.799999999999998</v>
      </c>
      <c r="P101" s="4">
        <f t="shared" si="17"/>
        <v>4.5999999999999979</v>
      </c>
      <c r="Q101" s="4">
        <f t="shared" si="17"/>
        <v>4.3999999999999977</v>
      </c>
      <c r="R101" s="4">
        <f t="shared" si="17"/>
        <v>4.299999999999998</v>
      </c>
      <c r="S101" s="4">
        <f t="shared" si="17"/>
        <v>4.1999999999999984</v>
      </c>
      <c r="T101" s="4">
        <f t="shared" si="17"/>
        <v>4.0999999999999988</v>
      </c>
      <c r="U101" s="4">
        <f t="shared" si="17"/>
        <v>3.9999999999999987</v>
      </c>
      <c r="V101" s="4">
        <f t="shared" si="17"/>
        <v>3.8999999999999986</v>
      </c>
      <c r="W101" s="4">
        <f t="shared" si="17"/>
        <v>3.7999999999999985</v>
      </c>
      <c r="X101" s="4">
        <f t="shared" si="17"/>
        <v>3.6999999999999984</v>
      </c>
      <c r="Y101" s="4">
        <f t="shared" si="17"/>
        <v>3.5999999999999983</v>
      </c>
      <c r="Z101" s="4">
        <f t="shared" si="17"/>
        <v>3.4999999999999982</v>
      </c>
      <c r="AA101" s="4">
        <f t="shared" si="17"/>
        <v>3.3999999999999981</v>
      </c>
      <c r="AB101" s="4">
        <f t="shared" si="17"/>
        <v>3.299999999999998</v>
      </c>
      <c r="AC101" s="4">
        <f t="shared" si="17"/>
        <v>3.199999999999998</v>
      </c>
      <c r="AD101" s="4">
        <f t="shared" si="17"/>
        <v>3.0999999999999979</v>
      </c>
      <c r="AE101" s="4">
        <f t="shared" si="17"/>
        <v>2.9999999999999978</v>
      </c>
      <c r="AF101" s="4">
        <f t="shared" si="17"/>
        <v>2.8999999999999977</v>
      </c>
      <c r="AG101" s="4">
        <f t="shared" si="17"/>
        <v>2.7999999999999976</v>
      </c>
      <c r="AH101" s="4">
        <f t="shared" si="17"/>
        <v>2.6999999999999975</v>
      </c>
      <c r="AI101" s="4">
        <f t="shared" si="17"/>
        <v>2.5999999999999974</v>
      </c>
      <c r="AJ101" s="4">
        <f t="shared" si="17"/>
        <v>2.4999999999999973</v>
      </c>
      <c r="AK101" s="4">
        <f t="shared" si="17"/>
        <v>2.3999999999999972</v>
      </c>
    </row>
    <row r="102" spans="3:37" outlineLevel="1" x14ac:dyDescent="0.25">
      <c r="C102" s="38">
        <v>7.3</v>
      </c>
      <c r="D102" s="4">
        <f t="shared" si="17"/>
        <v>7.1</v>
      </c>
      <c r="E102" s="4">
        <f t="shared" si="17"/>
        <v>6.8999999999999995</v>
      </c>
      <c r="F102" s="4">
        <f t="shared" si="17"/>
        <v>6.6999999999999993</v>
      </c>
      <c r="G102" s="4">
        <f t="shared" si="17"/>
        <v>6.4999999999999991</v>
      </c>
      <c r="H102" s="4">
        <f t="shared" si="17"/>
        <v>6.2999999999999989</v>
      </c>
      <c r="I102" s="4">
        <f t="shared" si="17"/>
        <v>6.0999999999999988</v>
      </c>
      <c r="J102" s="4">
        <f t="shared" si="17"/>
        <v>5.8999999999999986</v>
      </c>
      <c r="K102" s="4">
        <f t="shared" si="17"/>
        <v>5.6999999999999984</v>
      </c>
      <c r="L102" s="4">
        <f t="shared" si="17"/>
        <v>5.4999999999999982</v>
      </c>
      <c r="M102" s="4">
        <f t="shared" si="17"/>
        <v>5.299999999999998</v>
      </c>
      <c r="N102" s="4">
        <f t="shared" si="17"/>
        <v>5.0999999999999979</v>
      </c>
      <c r="O102" s="4">
        <f t="shared" si="17"/>
        <v>4.8999999999999977</v>
      </c>
      <c r="P102" s="4">
        <f t="shared" si="17"/>
        <v>4.6999999999999975</v>
      </c>
      <c r="Q102" s="4">
        <f t="shared" si="17"/>
        <v>4.4999999999999973</v>
      </c>
      <c r="R102" s="4">
        <f t="shared" si="17"/>
        <v>4.2999999999999972</v>
      </c>
      <c r="S102" s="4">
        <f t="shared" si="17"/>
        <v>4.1999999999999975</v>
      </c>
      <c r="T102" s="4">
        <f t="shared" si="17"/>
        <v>4.0999999999999979</v>
      </c>
      <c r="U102" s="4">
        <f t="shared" si="17"/>
        <v>3.9999999999999978</v>
      </c>
      <c r="V102" s="4">
        <f t="shared" si="17"/>
        <v>3.8999999999999977</v>
      </c>
      <c r="W102" s="4">
        <f t="shared" si="17"/>
        <v>3.7999999999999976</v>
      </c>
      <c r="X102" s="4">
        <f t="shared" si="17"/>
        <v>3.6999999999999975</v>
      </c>
      <c r="Y102" s="4">
        <f t="shared" si="17"/>
        <v>3.5999999999999974</v>
      </c>
      <c r="Z102" s="4">
        <f t="shared" si="17"/>
        <v>3.4999999999999973</v>
      </c>
      <c r="AA102" s="4">
        <f t="shared" si="17"/>
        <v>3.3999999999999972</v>
      </c>
      <c r="AB102" s="4">
        <f t="shared" si="17"/>
        <v>3.2999999999999972</v>
      </c>
      <c r="AC102" s="4">
        <f t="shared" si="17"/>
        <v>3.1999999999999971</v>
      </c>
      <c r="AD102" s="4">
        <f t="shared" si="17"/>
        <v>3.099999999999997</v>
      </c>
      <c r="AE102" s="4">
        <f t="shared" si="17"/>
        <v>2.9999999999999969</v>
      </c>
      <c r="AF102" s="4">
        <f t="shared" si="17"/>
        <v>2.8999999999999968</v>
      </c>
      <c r="AG102" s="4">
        <f t="shared" si="17"/>
        <v>2.7999999999999967</v>
      </c>
      <c r="AH102" s="4">
        <f t="shared" si="17"/>
        <v>2.6999999999999966</v>
      </c>
      <c r="AI102" s="4">
        <f t="shared" si="17"/>
        <v>2.5999999999999965</v>
      </c>
      <c r="AJ102" s="4">
        <f t="shared" si="17"/>
        <v>2.4999999999999964</v>
      </c>
      <c r="AK102" s="4">
        <f t="shared" si="17"/>
        <v>2.3999999999999964</v>
      </c>
    </row>
    <row r="103" spans="3:37" outlineLevel="1" x14ac:dyDescent="0.25">
      <c r="C103" s="38">
        <v>7.4</v>
      </c>
      <c r="D103" s="4">
        <f t="shared" si="17"/>
        <v>7.2</v>
      </c>
      <c r="E103" s="4">
        <f t="shared" si="17"/>
        <v>7</v>
      </c>
      <c r="F103" s="4">
        <f t="shared" si="17"/>
        <v>6.8</v>
      </c>
      <c r="G103" s="4">
        <f t="shared" si="17"/>
        <v>6.6</v>
      </c>
      <c r="H103" s="4">
        <f t="shared" si="17"/>
        <v>6.3999999999999995</v>
      </c>
      <c r="I103" s="4">
        <f t="shared" si="17"/>
        <v>6.1999999999999993</v>
      </c>
      <c r="J103" s="4">
        <f t="shared" si="17"/>
        <v>5.9999999999999991</v>
      </c>
      <c r="K103" s="4">
        <f t="shared" si="17"/>
        <v>5.7999999999999989</v>
      </c>
      <c r="L103" s="4">
        <f t="shared" si="17"/>
        <v>5.5999999999999988</v>
      </c>
      <c r="M103" s="4">
        <f t="shared" si="17"/>
        <v>5.3999999999999986</v>
      </c>
      <c r="N103" s="4">
        <f t="shared" si="17"/>
        <v>5.1999999999999984</v>
      </c>
      <c r="O103" s="4">
        <f t="shared" si="17"/>
        <v>4.9999999999999982</v>
      </c>
      <c r="P103" s="4">
        <f t="shared" si="17"/>
        <v>4.799999999999998</v>
      </c>
      <c r="Q103" s="4">
        <f t="shared" si="17"/>
        <v>4.5999999999999979</v>
      </c>
      <c r="R103" s="4">
        <f t="shared" si="17"/>
        <v>4.3999999999999977</v>
      </c>
      <c r="S103" s="4">
        <f t="shared" si="17"/>
        <v>4.299999999999998</v>
      </c>
      <c r="T103" s="4">
        <f t="shared" si="17"/>
        <v>4.1999999999999984</v>
      </c>
      <c r="U103" s="4">
        <f t="shared" si="17"/>
        <v>4.0999999999999988</v>
      </c>
      <c r="V103" s="4">
        <f t="shared" si="17"/>
        <v>3.9999999999999987</v>
      </c>
      <c r="W103" s="4">
        <f t="shared" si="17"/>
        <v>3.8999999999999986</v>
      </c>
      <c r="X103" s="4">
        <f t="shared" si="17"/>
        <v>3.7999999999999985</v>
      </c>
      <c r="Y103" s="4">
        <f t="shared" si="17"/>
        <v>3.6999999999999984</v>
      </c>
      <c r="Z103" s="4">
        <f t="shared" si="17"/>
        <v>3.5999999999999983</v>
      </c>
      <c r="AA103" s="4">
        <f t="shared" si="17"/>
        <v>3.4999999999999982</v>
      </c>
      <c r="AB103" s="4">
        <f t="shared" si="17"/>
        <v>3.3999999999999981</v>
      </c>
      <c r="AC103" s="4">
        <f t="shared" si="17"/>
        <v>3.299999999999998</v>
      </c>
      <c r="AD103" s="4">
        <f t="shared" si="17"/>
        <v>3.199999999999998</v>
      </c>
      <c r="AE103" s="4">
        <f t="shared" si="17"/>
        <v>3.0999999999999979</v>
      </c>
      <c r="AF103" s="4">
        <f t="shared" si="17"/>
        <v>2.9999999999999978</v>
      </c>
      <c r="AG103" s="4">
        <f t="shared" si="17"/>
        <v>2.8999999999999977</v>
      </c>
      <c r="AH103" s="4">
        <f t="shared" si="17"/>
        <v>2.7999999999999976</v>
      </c>
      <c r="AI103" s="4">
        <f t="shared" si="17"/>
        <v>2.6999999999999975</v>
      </c>
      <c r="AJ103" s="4">
        <f t="shared" si="17"/>
        <v>2.5999999999999974</v>
      </c>
      <c r="AK103" s="4">
        <f t="shared" si="17"/>
        <v>2.4999999999999973</v>
      </c>
    </row>
    <row r="104" spans="3:37" outlineLevel="1" x14ac:dyDescent="0.25">
      <c r="C104" s="38">
        <v>7.5</v>
      </c>
      <c r="D104" s="4">
        <f t="shared" si="17"/>
        <v>7.3</v>
      </c>
      <c r="E104" s="4">
        <f t="shared" si="17"/>
        <v>7.1</v>
      </c>
      <c r="F104" s="4">
        <f t="shared" si="17"/>
        <v>6.8999999999999995</v>
      </c>
      <c r="G104" s="4">
        <f t="shared" si="17"/>
        <v>6.6999999999999993</v>
      </c>
      <c r="H104" s="4">
        <f t="shared" si="17"/>
        <v>6.4999999999999991</v>
      </c>
      <c r="I104" s="4">
        <f t="shared" si="17"/>
        <v>6.2999999999999989</v>
      </c>
      <c r="J104" s="4">
        <f t="shared" si="17"/>
        <v>6.0999999999999988</v>
      </c>
      <c r="K104" s="4">
        <f t="shared" si="17"/>
        <v>5.8999999999999986</v>
      </c>
      <c r="L104" s="4">
        <f t="shared" si="17"/>
        <v>5.6999999999999984</v>
      </c>
      <c r="M104" s="4">
        <f t="shared" si="17"/>
        <v>5.4999999999999982</v>
      </c>
      <c r="N104" s="4">
        <f t="shared" si="17"/>
        <v>5.299999999999998</v>
      </c>
      <c r="O104" s="4">
        <f t="shared" si="17"/>
        <v>5.0999999999999979</v>
      </c>
      <c r="P104" s="4">
        <f t="shared" si="17"/>
        <v>4.8999999999999977</v>
      </c>
      <c r="Q104" s="4">
        <f t="shared" si="17"/>
        <v>4.6999999999999975</v>
      </c>
      <c r="R104" s="4">
        <f t="shared" si="17"/>
        <v>4.4999999999999973</v>
      </c>
      <c r="S104" s="4">
        <f t="shared" si="17"/>
        <v>4.2999999999999972</v>
      </c>
      <c r="T104" s="4">
        <f t="shared" si="17"/>
        <v>4.1999999999999975</v>
      </c>
      <c r="U104" s="4">
        <f t="shared" ref="U104:AK104" si="18">(IF(T104&lt;=4.4,T104-$E$6,IF(AND(T104&gt;=4.5,T104&lt;=11.4),T104-$E$7,IF(AND(T104&gt;=11.5,T104&lt;=18.4),T104-$E$8,IF(AND(T104&gt;=18.5,T104&lt;=26.4),T104-$E$9,IF(AND(T104&gt;=26.4,T104&lt;=36),T104-$E$10,IF(T104&gt;=37,T104-$E$11)))))))</f>
        <v>4.0999999999999979</v>
      </c>
      <c r="V104" s="4">
        <f t="shared" si="18"/>
        <v>3.9999999999999978</v>
      </c>
      <c r="W104" s="4">
        <f t="shared" si="18"/>
        <v>3.8999999999999977</v>
      </c>
      <c r="X104" s="4">
        <f t="shared" si="18"/>
        <v>3.7999999999999976</v>
      </c>
      <c r="Y104" s="4">
        <f t="shared" si="18"/>
        <v>3.6999999999999975</v>
      </c>
      <c r="Z104" s="4">
        <f t="shared" si="18"/>
        <v>3.5999999999999974</v>
      </c>
      <c r="AA104" s="4">
        <f t="shared" si="18"/>
        <v>3.4999999999999973</v>
      </c>
      <c r="AB104" s="4">
        <f t="shared" si="18"/>
        <v>3.3999999999999972</v>
      </c>
      <c r="AC104" s="4">
        <f t="shared" si="18"/>
        <v>3.2999999999999972</v>
      </c>
      <c r="AD104" s="4">
        <f t="shared" si="18"/>
        <v>3.1999999999999971</v>
      </c>
      <c r="AE104" s="4">
        <f t="shared" si="18"/>
        <v>3.099999999999997</v>
      </c>
      <c r="AF104" s="4">
        <f t="shared" si="18"/>
        <v>2.9999999999999969</v>
      </c>
      <c r="AG104" s="4">
        <f t="shared" si="18"/>
        <v>2.8999999999999968</v>
      </c>
      <c r="AH104" s="4">
        <f t="shared" si="18"/>
        <v>2.7999999999999967</v>
      </c>
      <c r="AI104" s="4">
        <f t="shared" si="18"/>
        <v>2.6999999999999966</v>
      </c>
      <c r="AJ104" s="4">
        <f t="shared" si="18"/>
        <v>2.5999999999999965</v>
      </c>
      <c r="AK104" s="4">
        <f t="shared" si="18"/>
        <v>2.4999999999999964</v>
      </c>
    </row>
    <row r="105" spans="3:37" outlineLevel="1" x14ac:dyDescent="0.25">
      <c r="C105" s="38">
        <v>7.6</v>
      </c>
      <c r="D105" s="4">
        <f t="shared" ref="D105:AK112" si="19">(IF(C105&lt;=4.4,C105-$E$6,IF(AND(C105&gt;=4.5,C105&lt;=11.4),C105-$E$7,IF(AND(C105&gt;=11.5,C105&lt;=18.4),C105-$E$8,IF(AND(C105&gt;=18.5,C105&lt;=26.4),C105-$E$9,IF(AND(C105&gt;=26.4,C105&lt;=36),C105-$E$10,IF(C105&gt;=37,C105-$E$11)))))))</f>
        <v>7.3999999999999995</v>
      </c>
      <c r="E105" s="4">
        <f t="shared" si="19"/>
        <v>7.1999999999999993</v>
      </c>
      <c r="F105" s="4">
        <f t="shared" si="19"/>
        <v>6.9999999999999991</v>
      </c>
      <c r="G105" s="4">
        <f t="shared" si="19"/>
        <v>6.7999999999999989</v>
      </c>
      <c r="H105" s="4">
        <f t="shared" si="19"/>
        <v>6.5999999999999988</v>
      </c>
      <c r="I105" s="4">
        <f t="shared" si="19"/>
        <v>6.3999999999999986</v>
      </c>
      <c r="J105" s="4">
        <f t="shared" si="19"/>
        <v>6.1999999999999984</v>
      </c>
      <c r="K105" s="4">
        <f t="shared" si="19"/>
        <v>5.9999999999999982</v>
      </c>
      <c r="L105" s="4">
        <f t="shared" si="19"/>
        <v>5.799999999999998</v>
      </c>
      <c r="M105" s="4">
        <f t="shared" si="19"/>
        <v>5.5999999999999979</v>
      </c>
      <c r="N105" s="4">
        <f t="shared" si="19"/>
        <v>5.3999999999999977</v>
      </c>
      <c r="O105" s="4">
        <f t="shared" si="19"/>
        <v>5.1999999999999975</v>
      </c>
      <c r="P105" s="4">
        <f t="shared" si="19"/>
        <v>4.9999999999999973</v>
      </c>
      <c r="Q105" s="4">
        <f t="shared" si="19"/>
        <v>4.7999999999999972</v>
      </c>
      <c r="R105" s="4">
        <f t="shared" si="19"/>
        <v>4.599999999999997</v>
      </c>
      <c r="S105" s="4">
        <f t="shared" si="19"/>
        <v>4.3999999999999968</v>
      </c>
      <c r="T105" s="4">
        <f t="shared" si="19"/>
        <v>4.2999999999999972</v>
      </c>
      <c r="U105" s="4">
        <f t="shared" si="19"/>
        <v>4.1999999999999975</v>
      </c>
      <c r="V105" s="4">
        <f t="shared" si="19"/>
        <v>4.0999999999999979</v>
      </c>
      <c r="W105" s="4">
        <f t="shared" si="19"/>
        <v>3.9999999999999978</v>
      </c>
      <c r="X105" s="4">
        <f t="shared" si="19"/>
        <v>3.8999999999999977</v>
      </c>
      <c r="Y105" s="4">
        <f t="shared" si="19"/>
        <v>3.7999999999999976</v>
      </c>
      <c r="Z105" s="4">
        <f t="shared" si="19"/>
        <v>3.6999999999999975</v>
      </c>
      <c r="AA105" s="4">
        <f t="shared" si="19"/>
        <v>3.5999999999999974</v>
      </c>
      <c r="AB105" s="4">
        <f t="shared" si="19"/>
        <v>3.4999999999999973</v>
      </c>
      <c r="AC105" s="4">
        <f t="shared" si="19"/>
        <v>3.3999999999999972</v>
      </c>
      <c r="AD105" s="4">
        <f t="shared" si="19"/>
        <v>3.2999999999999972</v>
      </c>
      <c r="AE105" s="4">
        <f t="shared" si="19"/>
        <v>3.1999999999999971</v>
      </c>
      <c r="AF105" s="4">
        <f t="shared" si="19"/>
        <v>3.099999999999997</v>
      </c>
      <c r="AG105" s="4">
        <f t="shared" si="19"/>
        <v>2.9999999999999969</v>
      </c>
      <c r="AH105" s="4">
        <f t="shared" si="19"/>
        <v>2.8999999999999968</v>
      </c>
      <c r="AI105" s="4">
        <f t="shared" si="19"/>
        <v>2.7999999999999967</v>
      </c>
      <c r="AJ105" s="4">
        <f t="shared" si="19"/>
        <v>2.6999999999999966</v>
      </c>
      <c r="AK105" s="4">
        <f t="shared" si="19"/>
        <v>2.5999999999999965</v>
      </c>
    </row>
    <row r="106" spans="3:37" outlineLevel="1" x14ac:dyDescent="0.25">
      <c r="C106" s="38">
        <v>7.7</v>
      </c>
      <c r="D106" s="4">
        <f t="shared" si="19"/>
        <v>7.5</v>
      </c>
      <c r="E106" s="4">
        <f t="shared" si="19"/>
        <v>7.3</v>
      </c>
      <c r="F106" s="4">
        <f t="shared" si="19"/>
        <v>7.1</v>
      </c>
      <c r="G106" s="4">
        <f t="shared" si="19"/>
        <v>6.8999999999999995</v>
      </c>
      <c r="H106" s="4">
        <f t="shared" si="19"/>
        <v>6.6999999999999993</v>
      </c>
      <c r="I106" s="4">
        <f t="shared" si="19"/>
        <v>6.4999999999999991</v>
      </c>
      <c r="J106" s="4">
        <f t="shared" si="19"/>
        <v>6.2999999999999989</v>
      </c>
      <c r="K106" s="4">
        <f t="shared" si="19"/>
        <v>6.0999999999999988</v>
      </c>
      <c r="L106" s="4">
        <f t="shared" si="19"/>
        <v>5.8999999999999986</v>
      </c>
      <c r="M106" s="4">
        <f t="shared" si="19"/>
        <v>5.6999999999999984</v>
      </c>
      <c r="N106" s="4">
        <f t="shared" si="19"/>
        <v>5.4999999999999982</v>
      </c>
      <c r="O106" s="4">
        <f t="shared" si="19"/>
        <v>5.299999999999998</v>
      </c>
      <c r="P106" s="4">
        <f t="shared" si="19"/>
        <v>5.0999999999999979</v>
      </c>
      <c r="Q106" s="4">
        <f t="shared" si="19"/>
        <v>4.8999999999999977</v>
      </c>
      <c r="R106" s="4">
        <f t="shared" si="19"/>
        <v>4.6999999999999975</v>
      </c>
      <c r="S106" s="4">
        <f t="shared" si="19"/>
        <v>4.4999999999999973</v>
      </c>
      <c r="T106" s="4">
        <f t="shared" si="19"/>
        <v>4.2999999999999972</v>
      </c>
      <c r="U106" s="4">
        <f t="shared" si="19"/>
        <v>4.1999999999999975</v>
      </c>
      <c r="V106" s="4">
        <f t="shared" si="19"/>
        <v>4.0999999999999979</v>
      </c>
      <c r="W106" s="4">
        <f t="shared" si="19"/>
        <v>3.9999999999999978</v>
      </c>
      <c r="X106" s="4">
        <f t="shared" si="19"/>
        <v>3.8999999999999977</v>
      </c>
      <c r="Y106" s="4">
        <f t="shared" si="19"/>
        <v>3.7999999999999976</v>
      </c>
      <c r="Z106" s="4">
        <f t="shared" si="19"/>
        <v>3.6999999999999975</v>
      </c>
      <c r="AA106" s="4">
        <f t="shared" si="19"/>
        <v>3.5999999999999974</v>
      </c>
      <c r="AB106" s="4">
        <f t="shared" si="19"/>
        <v>3.4999999999999973</v>
      </c>
      <c r="AC106" s="4">
        <f t="shared" si="19"/>
        <v>3.3999999999999972</v>
      </c>
      <c r="AD106" s="4">
        <f t="shared" si="19"/>
        <v>3.2999999999999972</v>
      </c>
      <c r="AE106" s="4">
        <f t="shared" si="19"/>
        <v>3.1999999999999971</v>
      </c>
      <c r="AF106" s="4">
        <f t="shared" si="19"/>
        <v>3.099999999999997</v>
      </c>
      <c r="AG106" s="4">
        <f t="shared" si="19"/>
        <v>2.9999999999999969</v>
      </c>
      <c r="AH106" s="4">
        <f t="shared" si="19"/>
        <v>2.8999999999999968</v>
      </c>
      <c r="AI106" s="4">
        <f t="shared" si="19"/>
        <v>2.7999999999999967</v>
      </c>
      <c r="AJ106" s="4">
        <f t="shared" si="19"/>
        <v>2.6999999999999966</v>
      </c>
      <c r="AK106" s="4">
        <f t="shared" si="19"/>
        <v>2.5999999999999965</v>
      </c>
    </row>
    <row r="107" spans="3:37" outlineLevel="1" x14ac:dyDescent="0.25">
      <c r="C107" s="38">
        <v>7.8</v>
      </c>
      <c r="D107" s="4">
        <f t="shared" si="19"/>
        <v>7.6</v>
      </c>
      <c r="E107" s="4">
        <f t="shared" si="19"/>
        <v>7.3999999999999995</v>
      </c>
      <c r="F107" s="4">
        <f t="shared" si="19"/>
        <v>7.1999999999999993</v>
      </c>
      <c r="G107" s="4">
        <f t="shared" si="19"/>
        <v>6.9999999999999991</v>
      </c>
      <c r="H107" s="4">
        <f t="shared" si="19"/>
        <v>6.7999999999999989</v>
      </c>
      <c r="I107" s="4">
        <f t="shared" si="19"/>
        <v>6.5999999999999988</v>
      </c>
      <c r="J107" s="4">
        <f t="shared" si="19"/>
        <v>6.3999999999999986</v>
      </c>
      <c r="K107" s="4">
        <f t="shared" si="19"/>
        <v>6.1999999999999984</v>
      </c>
      <c r="L107" s="4">
        <f t="shared" si="19"/>
        <v>5.9999999999999982</v>
      </c>
      <c r="M107" s="4">
        <f t="shared" si="19"/>
        <v>5.799999999999998</v>
      </c>
      <c r="N107" s="4">
        <f t="shared" si="19"/>
        <v>5.5999999999999979</v>
      </c>
      <c r="O107" s="4">
        <f t="shared" si="19"/>
        <v>5.3999999999999977</v>
      </c>
      <c r="P107" s="4">
        <f t="shared" si="19"/>
        <v>5.1999999999999975</v>
      </c>
      <c r="Q107" s="4">
        <f t="shared" si="19"/>
        <v>4.9999999999999973</v>
      </c>
      <c r="R107" s="4">
        <f t="shared" si="19"/>
        <v>4.7999999999999972</v>
      </c>
      <c r="S107" s="4">
        <f t="shared" si="19"/>
        <v>4.599999999999997</v>
      </c>
      <c r="T107" s="4">
        <f t="shared" si="19"/>
        <v>4.3999999999999968</v>
      </c>
      <c r="U107" s="4">
        <f t="shared" si="19"/>
        <v>4.2999999999999972</v>
      </c>
      <c r="V107" s="4">
        <f t="shared" si="19"/>
        <v>4.1999999999999975</v>
      </c>
      <c r="W107" s="4">
        <f t="shared" si="19"/>
        <v>4.0999999999999979</v>
      </c>
      <c r="X107" s="4">
        <f t="shared" si="19"/>
        <v>3.9999999999999978</v>
      </c>
      <c r="Y107" s="4">
        <f t="shared" si="19"/>
        <v>3.8999999999999977</v>
      </c>
      <c r="Z107" s="4">
        <f t="shared" si="19"/>
        <v>3.7999999999999976</v>
      </c>
      <c r="AA107" s="4">
        <f t="shared" si="19"/>
        <v>3.6999999999999975</v>
      </c>
      <c r="AB107" s="4">
        <f t="shared" si="19"/>
        <v>3.5999999999999974</v>
      </c>
      <c r="AC107" s="4">
        <f t="shared" si="19"/>
        <v>3.4999999999999973</v>
      </c>
      <c r="AD107" s="4">
        <f t="shared" si="19"/>
        <v>3.3999999999999972</v>
      </c>
      <c r="AE107" s="4">
        <f t="shared" si="19"/>
        <v>3.2999999999999972</v>
      </c>
      <c r="AF107" s="4">
        <f t="shared" si="19"/>
        <v>3.1999999999999971</v>
      </c>
      <c r="AG107" s="4">
        <f t="shared" si="19"/>
        <v>3.099999999999997</v>
      </c>
      <c r="AH107" s="4">
        <f t="shared" si="19"/>
        <v>2.9999999999999969</v>
      </c>
      <c r="AI107" s="4">
        <f t="shared" si="19"/>
        <v>2.8999999999999968</v>
      </c>
      <c r="AJ107" s="4">
        <f t="shared" si="19"/>
        <v>2.7999999999999967</v>
      </c>
      <c r="AK107" s="4">
        <f t="shared" si="19"/>
        <v>2.6999999999999966</v>
      </c>
    </row>
    <row r="108" spans="3:37" outlineLevel="1" x14ac:dyDescent="0.25">
      <c r="C108" s="38">
        <v>7.9</v>
      </c>
      <c r="D108" s="4">
        <f t="shared" si="19"/>
        <v>7.7</v>
      </c>
      <c r="E108" s="4">
        <f t="shared" si="19"/>
        <v>7.5</v>
      </c>
      <c r="F108" s="4">
        <f t="shared" si="19"/>
        <v>7.3</v>
      </c>
      <c r="G108" s="4">
        <f t="shared" si="19"/>
        <v>7.1</v>
      </c>
      <c r="H108" s="4">
        <f t="shared" si="19"/>
        <v>6.8999999999999995</v>
      </c>
      <c r="I108" s="4">
        <f t="shared" si="19"/>
        <v>6.6999999999999993</v>
      </c>
      <c r="J108" s="4">
        <f t="shared" si="19"/>
        <v>6.4999999999999991</v>
      </c>
      <c r="K108" s="4">
        <f t="shared" si="19"/>
        <v>6.2999999999999989</v>
      </c>
      <c r="L108" s="4">
        <f t="shared" si="19"/>
        <v>6.0999999999999988</v>
      </c>
      <c r="M108" s="4">
        <f t="shared" si="19"/>
        <v>5.8999999999999986</v>
      </c>
      <c r="N108" s="4">
        <f t="shared" si="19"/>
        <v>5.6999999999999984</v>
      </c>
      <c r="O108" s="4">
        <f t="shared" si="19"/>
        <v>5.4999999999999982</v>
      </c>
      <c r="P108" s="4">
        <f t="shared" si="19"/>
        <v>5.299999999999998</v>
      </c>
      <c r="Q108" s="4">
        <f t="shared" si="19"/>
        <v>5.0999999999999979</v>
      </c>
      <c r="R108" s="4">
        <f t="shared" si="19"/>
        <v>4.8999999999999977</v>
      </c>
      <c r="S108" s="4">
        <f t="shared" si="19"/>
        <v>4.6999999999999975</v>
      </c>
      <c r="T108" s="4">
        <f t="shared" si="19"/>
        <v>4.4999999999999973</v>
      </c>
      <c r="U108" s="4">
        <f t="shared" si="19"/>
        <v>4.2999999999999972</v>
      </c>
      <c r="V108" s="4">
        <f t="shared" si="19"/>
        <v>4.1999999999999975</v>
      </c>
      <c r="W108" s="4">
        <f t="shared" si="19"/>
        <v>4.0999999999999979</v>
      </c>
      <c r="X108" s="4">
        <f t="shared" si="19"/>
        <v>3.9999999999999978</v>
      </c>
      <c r="Y108" s="4">
        <f t="shared" si="19"/>
        <v>3.8999999999999977</v>
      </c>
      <c r="Z108" s="4">
        <f t="shared" si="19"/>
        <v>3.7999999999999976</v>
      </c>
      <c r="AA108" s="4">
        <f t="shared" si="19"/>
        <v>3.6999999999999975</v>
      </c>
      <c r="AB108" s="4">
        <f t="shared" si="19"/>
        <v>3.5999999999999974</v>
      </c>
      <c r="AC108" s="4">
        <f t="shared" si="19"/>
        <v>3.4999999999999973</v>
      </c>
      <c r="AD108" s="4">
        <f t="shared" si="19"/>
        <v>3.3999999999999972</v>
      </c>
      <c r="AE108" s="4">
        <f t="shared" si="19"/>
        <v>3.2999999999999972</v>
      </c>
      <c r="AF108" s="4">
        <f t="shared" si="19"/>
        <v>3.1999999999999971</v>
      </c>
      <c r="AG108" s="4">
        <f t="shared" si="19"/>
        <v>3.099999999999997</v>
      </c>
      <c r="AH108" s="4">
        <f t="shared" si="19"/>
        <v>2.9999999999999969</v>
      </c>
      <c r="AI108" s="4">
        <f t="shared" si="19"/>
        <v>2.8999999999999968</v>
      </c>
      <c r="AJ108" s="4">
        <f t="shared" si="19"/>
        <v>2.7999999999999967</v>
      </c>
      <c r="AK108" s="4">
        <f t="shared" si="19"/>
        <v>2.6999999999999966</v>
      </c>
    </row>
    <row r="109" spans="3:37" outlineLevel="1" x14ac:dyDescent="0.25">
      <c r="C109" s="38">
        <v>8</v>
      </c>
      <c r="D109" s="4">
        <f t="shared" si="19"/>
        <v>7.8</v>
      </c>
      <c r="E109" s="4">
        <f t="shared" si="19"/>
        <v>7.6</v>
      </c>
      <c r="F109" s="4">
        <f t="shared" si="19"/>
        <v>7.3999999999999995</v>
      </c>
      <c r="G109" s="4">
        <f t="shared" si="19"/>
        <v>7.1999999999999993</v>
      </c>
      <c r="H109" s="4">
        <f t="shared" si="19"/>
        <v>6.9999999999999991</v>
      </c>
      <c r="I109" s="4">
        <f t="shared" si="19"/>
        <v>6.7999999999999989</v>
      </c>
      <c r="J109" s="4">
        <f t="shared" si="19"/>
        <v>6.5999999999999988</v>
      </c>
      <c r="K109" s="4">
        <f t="shared" si="19"/>
        <v>6.3999999999999986</v>
      </c>
      <c r="L109" s="4">
        <f t="shared" si="19"/>
        <v>6.1999999999999984</v>
      </c>
      <c r="M109" s="4">
        <f t="shared" si="19"/>
        <v>5.9999999999999982</v>
      </c>
      <c r="N109" s="4">
        <f t="shared" si="19"/>
        <v>5.799999999999998</v>
      </c>
      <c r="O109" s="4">
        <f t="shared" si="19"/>
        <v>5.5999999999999979</v>
      </c>
      <c r="P109" s="4">
        <f t="shared" si="19"/>
        <v>5.3999999999999977</v>
      </c>
      <c r="Q109" s="4">
        <f t="shared" si="19"/>
        <v>5.1999999999999975</v>
      </c>
      <c r="R109" s="4">
        <f t="shared" si="19"/>
        <v>4.9999999999999973</v>
      </c>
      <c r="S109" s="4">
        <f t="shared" si="19"/>
        <v>4.7999999999999972</v>
      </c>
      <c r="T109" s="4">
        <f t="shared" si="19"/>
        <v>4.599999999999997</v>
      </c>
      <c r="U109" s="4">
        <f t="shared" si="19"/>
        <v>4.3999999999999968</v>
      </c>
      <c r="V109" s="4">
        <f t="shared" si="19"/>
        <v>4.2999999999999972</v>
      </c>
      <c r="W109" s="4">
        <f t="shared" si="19"/>
        <v>4.1999999999999975</v>
      </c>
      <c r="X109" s="4">
        <f t="shared" si="19"/>
        <v>4.0999999999999979</v>
      </c>
      <c r="Y109" s="4">
        <f t="shared" si="19"/>
        <v>3.9999999999999978</v>
      </c>
      <c r="Z109" s="4">
        <f t="shared" si="19"/>
        <v>3.8999999999999977</v>
      </c>
      <c r="AA109" s="4">
        <f t="shared" si="19"/>
        <v>3.7999999999999976</v>
      </c>
      <c r="AB109" s="4">
        <f t="shared" si="19"/>
        <v>3.6999999999999975</v>
      </c>
      <c r="AC109" s="4">
        <f t="shared" si="19"/>
        <v>3.5999999999999974</v>
      </c>
      <c r="AD109" s="4">
        <f t="shared" si="19"/>
        <v>3.4999999999999973</v>
      </c>
      <c r="AE109" s="4">
        <f t="shared" si="19"/>
        <v>3.3999999999999972</v>
      </c>
      <c r="AF109" s="4">
        <f t="shared" si="19"/>
        <v>3.2999999999999972</v>
      </c>
      <c r="AG109" s="4">
        <f t="shared" si="19"/>
        <v>3.1999999999999971</v>
      </c>
      <c r="AH109" s="4">
        <f t="shared" si="19"/>
        <v>3.099999999999997</v>
      </c>
      <c r="AI109" s="4">
        <f t="shared" si="19"/>
        <v>2.9999999999999969</v>
      </c>
      <c r="AJ109" s="4">
        <f t="shared" si="19"/>
        <v>2.8999999999999968</v>
      </c>
      <c r="AK109" s="4">
        <f t="shared" si="19"/>
        <v>2.7999999999999967</v>
      </c>
    </row>
    <row r="110" spans="3:37" outlineLevel="1" x14ac:dyDescent="0.25">
      <c r="C110" s="38">
        <v>8.1</v>
      </c>
      <c r="D110" s="4">
        <f t="shared" si="19"/>
        <v>7.8999999999999995</v>
      </c>
      <c r="E110" s="4">
        <f t="shared" si="19"/>
        <v>7.6999999999999993</v>
      </c>
      <c r="F110" s="4">
        <f t="shared" si="19"/>
        <v>7.4999999999999991</v>
      </c>
      <c r="G110" s="4">
        <f t="shared" si="19"/>
        <v>7.2999999999999989</v>
      </c>
      <c r="H110" s="4">
        <f t="shared" si="19"/>
        <v>7.0999999999999988</v>
      </c>
      <c r="I110" s="4">
        <f t="shared" si="19"/>
        <v>6.8999999999999986</v>
      </c>
      <c r="J110" s="4">
        <f t="shared" si="19"/>
        <v>6.6999999999999984</v>
      </c>
      <c r="K110" s="4">
        <f t="shared" si="19"/>
        <v>6.4999999999999982</v>
      </c>
      <c r="L110" s="4">
        <f t="shared" si="19"/>
        <v>6.299999999999998</v>
      </c>
      <c r="M110" s="4">
        <f t="shared" si="19"/>
        <v>6.0999999999999979</v>
      </c>
      <c r="N110" s="4">
        <f t="shared" si="19"/>
        <v>5.8999999999999977</v>
      </c>
      <c r="O110" s="4">
        <f t="shared" si="19"/>
        <v>5.6999999999999975</v>
      </c>
      <c r="P110" s="4">
        <f t="shared" si="19"/>
        <v>5.4999999999999973</v>
      </c>
      <c r="Q110" s="4">
        <f t="shared" si="19"/>
        <v>5.2999999999999972</v>
      </c>
      <c r="R110" s="4">
        <f t="shared" si="19"/>
        <v>5.099999999999997</v>
      </c>
      <c r="S110" s="4">
        <f t="shared" si="19"/>
        <v>4.8999999999999968</v>
      </c>
      <c r="T110" s="4">
        <f t="shared" si="19"/>
        <v>4.6999999999999966</v>
      </c>
      <c r="U110" s="4">
        <f t="shared" si="19"/>
        <v>4.4999999999999964</v>
      </c>
      <c r="V110" s="4">
        <f t="shared" si="19"/>
        <v>4.2999999999999963</v>
      </c>
      <c r="W110" s="4">
        <f t="shared" si="19"/>
        <v>4.1999999999999966</v>
      </c>
      <c r="X110" s="4">
        <f t="shared" si="19"/>
        <v>4.099999999999997</v>
      </c>
      <c r="Y110" s="4">
        <f t="shared" si="19"/>
        <v>3.9999999999999969</v>
      </c>
      <c r="Z110" s="4">
        <f t="shared" si="19"/>
        <v>3.8999999999999968</v>
      </c>
      <c r="AA110" s="4">
        <f t="shared" si="19"/>
        <v>3.7999999999999967</v>
      </c>
      <c r="AB110" s="4">
        <f t="shared" si="19"/>
        <v>3.6999999999999966</v>
      </c>
      <c r="AC110" s="4">
        <f t="shared" si="19"/>
        <v>3.5999999999999965</v>
      </c>
      <c r="AD110" s="4">
        <f t="shared" si="19"/>
        <v>3.4999999999999964</v>
      </c>
      <c r="AE110" s="4">
        <f t="shared" si="19"/>
        <v>3.3999999999999964</v>
      </c>
      <c r="AF110" s="4">
        <f t="shared" si="19"/>
        <v>3.2999999999999963</v>
      </c>
      <c r="AG110" s="4">
        <f t="shared" si="19"/>
        <v>3.1999999999999962</v>
      </c>
      <c r="AH110" s="4">
        <f t="shared" si="19"/>
        <v>3.0999999999999961</v>
      </c>
      <c r="AI110" s="4">
        <f t="shared" si="19"/>
        <v>2.999999999999996</v>
      </c>
      <c r="AJ110" s="4">
        <f t="shared" si="19"/>
        <v>2.8999999999999959</v>
      </c>
      <c r="AK110" s="4">
        <f t="shared" si="19"/>
        <v>2.7999999999999958</v>
      </c>
    </row>
    <row r="111" spans="3:37" outlineLevel="1" x14ac:dyDescent="0.25">
      <c r="C111" s="38">
        <v>8.1999999999999993</v>
      </c>
      <c r="D111" s="4">
        <f t="shared" si="19"/>
        <v>7.9999999999999991</v>
      </c>
      <c r="E111" s="4">
        <f t="shared" si="19"/>
        <v>7.7999999999999989</v>
      </c>
      <c r="F111" s="4">
        <f t="shared" si="19"/>
        <v>7.5999999999999988</v>
      </c>
      <c r="G111" s="4">
        <f t="shared" si="19"/>
        <v>7.3999999999999986</v>
      </c>
      <c r="H111" s="4">
        <f t="shared" si="19"/>
        <v>7.1999999999999984</v>
      </c>
      <c r="I111" s="4">
        <f t="shared" si="19"/>
        <v>6.9999999999999982</v>
      </c>
      <c r="J111" s="4">
        <f t="shared" si="19"/>
        <v>6.799999999999998</v>
      </c>
      <c r="K111" s="4">
        <f t="shared" si="19"/>
        <v>6.5999999999999979</v>
      </c>
      <c r="L111" s="4">
        <f t="shared" si="19"/>
        <v>6.3999999999999977</v>
      </c>
      <c r="M111" s="4">
        <f t="shared" si="19"/>
        <v>6.1999999999999975</v>
      </c>
      <c r="N111" s="4">
        <f t="shared" si="19"/>
        <v>5.9999999999999973</v>
      </c>
      <c r="O111" s="4">
        <f t="shared" si="19"/>
        <v>5.7999999999999972</v>
      </c>
      <c r="P111" s="4">
        <f t="shared" si="19"/>
        <v>5.599999999999997</v>
      </c>
      <c r="Q111" s="4">
        <f t="shared" si="19"/>
        <v>5.3999999999999968</v>
      </c>
      <c r="R111" s="4">
        <f t="shared" si="19"/>
        <v>5.1999999999999966</v>
      </c>
      <c r="S111" s="4">
        <f t="shared" si="19"/>
        <v>4.9999999999999964</v>
      </c>
      <c r="T111" s="4">
        <f t="shared" si="19"/>
        <v>4.7999999999999963</v>
      </c>
      <c r="U111" s="4">
        <f t="shared" si="19"/>
        <v>4.5999999999999961</v>
      </c>
      <c r="V111" s="4">
        <f t="shared" si="19"/>
        <v>4.3999999999999959</v>
      </c>
      <c r="W111" s="4">
        <f t="shared" si="19"/>
        <v>4.2999999999999963</v>
      </c>
      <c r="X111" s="4">
        <f t="shared" si="19"/>
        <v>4.1999999999999966</v>
      </c>
      <c r="Y111" s="4">
        <f t="shared" si="19"/>
        <v>4.099999999999997</v>
      </c>
      <c r="Z111" s="4">
        <f t="shared" si="19"/>
        <v>3.9999999999999969</v>
      </c>
      <c r="AA111" s="4">
        <f t="shared" si="19"/>
        <v>3.8999999999999968</v>
      </c>
      <c r="AB111" s="4">
        <f t="shared" si="19"/>
        <v>3.7999999999999967</v>
      </c>
      <c r="AC111" s="4">
        <f t="shared" si="19"/>
        <v>3.6999999999999966</v>
      </c>
      <c r="AD111" s="4">
        <f t="shared" si="19"/>
        <v>3.5999999999999965</v>
      </c>
      <c r="AE111" s="4">
        <f t="shared" si="19"/>
        <v>3.4999999999999964</v>
      </c>
      <c r="AF111" s="4">
        <f t="shared" si="19"/>
        <v>3.3999999999999964</v>
      </c>
      <c r="AG111" s="4">
        <f t="shared" si="19"/>
        <v>3.2999999999999963</v>
      </c>
      <c r="AH111" s="4">
        <f t="shared" si="19"/>
        <v>3.1999999999999962</v>
      </c>
      <c r="AI111" s="4">
        <f t="shared" si="19"/>
        <v>3.0999999999999961</v>
      </c>
      <c r="AJ111" s="4">
        <f t="shared" si="19"/>
        <v>2.999999999999996</v>
      </c>
      <c r="AK111" s="4">
        <f t="shared" si="19"/>
        <v>2.8999999999999959</v>
      </c>
    </row>
    <row r="112" spans="3:37" outlineLevel="1" x14ac:dyDescent="0.25">
      <c r="C112" s="38">
        <v>8.3000000000000007</v>
      </c>
      <c r="D112" s="4">
        <f t="shared" si="19"/>
        <v>8.1000000000000014</v>
      </c>
      <c r="E112" s="4">
        <f t="shared" si="19"/>
        <v>7.9000000000000012</v>
      </c>
      <c r="F112" s="4">
        <f t="shared" si="19"/>
        <v>7.7000000000000011</v>
      </c>
      <c r="G112" s="4">
        <f t="shared" si="19"/>
        <v>7.5000000000000009</v>
      </c>
      <c r="H112" s="4">
        <f t="shared" si="19"/>
        <v>7.3000000000000007</v>
      </c>
      <c r="I112" s="4">
        <f t="shared" si="19"/>
        <v>7.1000000000000005</v>
      </c>
      <c r="J112" s="4">
        <f t="shared" si="19"/>
        <v>6.9</v>
      </c>
      <c r="K112" s="4">
        <f t="shared" si="19"/>
        <v>6.7</v>
      </c>
      <c r="L112" s="4">
        <f t="shared" si="19"/>
        <v>6.5</v>
      </c>
      <c r="M112" s="4">
        <f t="shared" si="19"/>
        <v>6.3</v>
      </c>
      <c r="N112" s="4">
        <f t="shared" si="19"/>
        <v>6.1</v>
      </c>
      <c r="O112" s="4">
        <f t="shared" si="19"/>
        <v>5.8999999999999995</v>
      </c>
      <c r="P112" s="4">
        <f t="shared" si="19"/>
        <v>5.6999999999999993</v>
      </c>
      <c r="Q112" s="4">
        <f t="shared" si="19"/>
        <v>5.4999999999999991</v>
      </c>
      <c r="R112" s="4">
        <f t="shared" si="19"/>
        <v>5.2999999999999989</v>
      </c>
      <c r="S112" s="4">
        <f t="shared" si="19"/>
        <v>5.0999999999999988</v>
      </c>
      <c r="T112" s="4">
        <f t="shared" si="19"/>
        <v>4.8999999999999986</v>
      </c>
      <c r="U112" s="4">
        <f t="shared" ref="U112:AK112" si="20">(IF(T112&lt;=4.4,T112-$E$6,IF(AND(T112&gt;=4.5,T112&lt;=11.4),T112-$E$7,IF(AND(T112&gt;=11.5,T112&lt;=18.4),T112-$E$8,IF(AND(T112&gt;=18.5,T112&lt;=26.4),T112-$E$9,IF(AND(T112&gt;=26.4,T112&lt;=36),T112-$E$10,IF(T112&gt;=37,T112-$E$11)))))))</f>
        <v>4.6999999999999984</v>
      </c>
      <c r="V112" s="4">
        <f t="shared" si="20"/>
        <v>4.4999999999999982</v>
      </c>
      <c r="W112" s="4">
        <f t="shared" si="20"/>
        <v>4.299999999999998</v>
      </c>
      <c r="X112" s="4">
        <f t="shared" si="20"/>
        <v>4.1999999999999984</v>
      </c>
      <c r="Y112" s="4">
        <f t="shared" si="20"/>
        <v>4.0999999999999988</v>
      </c>
      <c r="Z112" s="4">
        <f t="shared" si="20"/>
        <v>3.9999999999999987</v>
      </c>
      <c r="AA112" s="4">
        <f t="shared" si="20"/>
        <v>3.8999999999999986</v>
      </c>
      <c r="AB112" s="4">
        <f t="shared" si="20"/>
        <v>3.7999999999999985</v>
      </c>
      <c r="AC112" s="4">
        <f t="shared" si="20"/>
        <v>3.6999999999999984</v>
      </c>
      <c r="AD112" s="4">
        <f t="shared" si="20"/>
        <v>3.5999999999999983</v>
      </c>
      <c r="AE112" s="4">
        <f t="shared" si="20"/>
        <v>3.4999999999999982</v>
      </c>
      <c r="AF112" s="4">
        <f t="shared" si="20"/>
        <v>3.3999999999999981</v>
      </c>
      <c r="AG112" s="4">
        <f t="shared" si="20"/>
        <v>3.299999999999998</v>
      </c>
      <c r="AH112" s="4">
        <f t="shared" si="20"/>
        <v>3.199999999999998</v>
      </c>
      <c r="AI112" s="4">
        <f t="shared" si="20"/>
        <v>3.0999999999999979</v>
      </c>
      <c r="AJ112" s="4">
        <f t="shared" si="20"/>
        <v>2.9999999999999978</v>
      </c>
      <c r="AK112" s="4">
        <f t="shared" si="20"/>
        <v>2.8999999999999977</v>
      </c>
    </row>
    <row r="113" spans="3:37" outlineLevel="1" x14ac:dyDescent="0.25">
      <c r="C113" s="38">
        <v>8.4</v>
      </c>
      <c r="D113" s="4">
        <f t="shared" ref="D113:AK120" si="21">(IF(C113&lt;=4.4,C113-$E$6,IF(AND(C113&gt;=4.5,C113&lt;=11.4),C113-$E$7,IF(AND(C113&gt;=11.5,C113&lt;=18.4),C113-$E$8,IF(AND(C113&gt;=18.5,C113&lt;=26.4),C113-$E$9,IF(AND(C113&gt;=26.4,C113&lt;=36),C113-$E$10,IF(C113&gt;=37,C113-$E$11)))))))</f>
        <v>8.2000000000000011</v>
      </c>
      <c r="E113" s="4">
        <f t="shared" si="21"/>
        <v>8.0000000000000018</v>
      </c>
      <c r="F113" s="4">
        <f t="shared" si="21"/>
        <v>7.8000000000000016</v>
      </c>
      <c r="G113" s="4">
        <f t="shared" si="21"/>
        <v>7.6000000000000014</v>
      </c>
      <c r="H113" s="4">
        <f t="shared" si="21"/>
        <v>7.4000000000000012</v>
      </c>
      <c r="I113" s="4">
        <f t="shared" si="21"/>
        <v>7.2000000000000011</v>
      </c>
      <c r="J113" s="4">
        <f t="shared" si="21"/>
        <v>7.0000000000000009</v>
      </c>
      <c r="K113" s="4">
        <f t="shared" si="21"/>
        <v>6.8000000000000007</v>
      </c>
      <c r="L113" s="4">
        <f t="shared" si="21"/>
        <v>6.6000000000000005</v>
      </c>
      <c r="M113" s="4">
        <f t="shared" si="21"/>
        <v>6.4</v>
      </c>
      <c r="N113" s="4">
        <f t="shared" si="21"/>
        <v>6.2</v>
      </c>
      <c r="O113" s="4">
        <f t="shared" si="21"/>
        <v>6</v>
      </c>
      <c r="P113" s="4">
        <f t="shared" si="21"/>
        <v>5.8</v>
      </c>
      <c r="Q113" s="4">
        <f t="shared" si="21"/>
        <v>5.6</v>
      </c>
      <c r="R113" s="4">
        <f t="shared" si="21"/>
        <v>5.3999999999999995</v>
      </c>
      <c r="S113" s="4">
        <f t="shared" si="21"/>
        <v>5.1999999999999993</v>
      </c>
      <c r="T113" s="4">
        <f t="shared" si="21"/>
        <v>4.9999999999999991</v>
      </c>
      <c r="U113" s="4">
        <f t="shared" si="21"/>
        <v>4.7999999999999989</v>
      </c>
      <c r="V113" s="4">
        <f t="shared" si="21"/>
        <v>4.5999999999999988</v>
      </c>
      <c r="W113" s="4">
        <f t="shared" si="21"/>
        <v>4.3999999999999986</v>
      </c>
      <c r="X113" s="4">
        <f t="shared" si="21"/>
        <v>4.2999999999999989</v>
      </c>
      <c r="Y113" s="4">
        <f t="shared" si="21"/>
        <v>4.1999999999999993</v>
      </c>
      <c r="Z113" s="4">
        <f t="shared" si="21"/>
        <v>4.0999999999999996</v>
      </c>
      <c r="AA113" s="4">
        <f t="shared" si="21"/>
        <v>3.9999999999999996</v>
      </c>
      <c r="AB113" s="4">
        <f t="shared" si="21"/>
        <v>3.8999999999999995</v>
      </c>
      <c r="AC113" s="4">
        <f t="shared" si="21"/>
        <v>3.7999999999999994</v>
      </c>
      <c r="AD113" s="4">
        <f t="shared" si="21"/>
        <v>3.6999999999999993</v>
      </c>
      <c r="AE113" s="4">
        <f t="shared" si="21"/>
        <v>3.5999999999999992</v>
      </c>
      <c r="AF113" s="4">
        <f t="shared" si="21"/>
        <v>3.4999999999999991</v>
      </c>
      <c r="AG113" s="4">
        <f t="shared" si="21"/>
        <v>3.399999999999999</v>
      </c>
      <c r="AH113" s="4">
        <f t="shared" si="21"/>
        <v>3.2999999999999989</v>
      </c>
      <c r="AI113" s="4">
        <f t="shared" si="21"/>
        <v>3.1999999999999988</v>
      </c>
      <c r="AJ113" s="4">
        <f t="shared" si="21"/>
        <v>3.0999999999999988</v>
      </c>
      <c r="AK113" s="4">
        <f t="shared" si="21"/>
        <v>2.9999999999999987</v>
      </c>
    </row>
    <row r="114" spans="3:37" outlineLevel="1" x14ac:dyDescent="0.25">
      <c r="C114" s="38">
        <v>8.5</v>
      </c>
      <c r="D114" s="4">
        <f t="shared" si="21"/>
        <v>8.3000000000000007</v>
      </c>
      <c r="E114" s="4">
        <f t="shared" si="21"/>
        <v>8.1000000000000014</v>
      </c>
      <c r="F114" s="4">
        <f t="shared" si="21"/>
        <v>7.9000000000000012</v>
      </c>
      <c r="G114" s="4">
        <f t="shared" si="21"/>
        <v>7.7000000000000011</v>
      </c>
      <c r="H114" s="4">
        <f t="shared" si="21"/>
        <v>7.5000000000000009</v>
      </c>
      <c r="I114" s="4">
        <f t="shared" si="21"/>
        <v>7.3000000000000007</v>
      </c>
      <c r="J114" s="4">
        <f t="shared" si="21"/>
        <v>7.1000000000000005</v>
      </c>
      <c r="K114" s="4">
        <f t="shared" si="21"/>
        <v>6.9</v>
      </c>
      <c r="L114" s="4">
        <f t="shared" si="21"/>
        <v>6.7</v>
      </c>
      <c r="M114" s="4">
        <f t="shared" si="21"/>
        <v>6.5</v>
      </c>
      <c r="N114" s="4">
        <f t="shared" si="21"/>
        <v>6.3</v>
      </c>
      <c r="O114" s="4">
        <f t="shared" si="21"/>
        <v>6.1</v>
      </c>
      <c r="P114" s="4">
        <f t="shared" si="21"/>
        <v>5.8999999999999995</v>
      </c>
      <c r="Q114" s="4">
        <f t="shared" si="21"/>
        <v>5.6999999999999993</v>
      </c>
      <c r="R114" s="4">
        <f t="shared" si="21"/>
        <v>5.4999999999999991</v>
      </c>
      <c r="S114" s="4">
        <f t="shared" si="21"/>
        <v>5.2999999999999989</v>
      </c>
      <c r="T114" s="4">
        <f t="shared" si="21"/>
        <v>5.0999999999999988</v>
      </c>
      <c r="U114" s="4">
        <f t="shared" si="21"/>
        <v>4.8999999999999986</v>
      </c>
      <c r="V114" s="4">
        <f t="shared" si="21"/>
        <v>4.6999999999999984</v>
      </c>
      <c r="W114" s="4">
        <f t="shared" si="21"/>
        <v>4.4999999999999982</v>
      </c>
      <c r="X114" s="4">
        <f t="shared" si="21"/>
        <v>4.299999999999998</v>
      </c>
      <c r="Y114" s="4">
        <f t="shared" si="21"/>
        <v>4.1999999999999984</v>
      </c>
      <c r="Z114" s="4">
        <f t="shared" si="21"/>
        <v>4.0999999999999988</v>
      </c>
      <c r="AA114" s="4">
        <f t="shared" si="21"/>
        <v>3.9999999999999987</v>
      </c>
      <c r="AB114" s="4">
        <f t="shared" si="21"/>
        <v>3.8999999999999986</v>
      </c>
      <c r="AC114" s="4">
        <f t="shared" si="21"/>
        <v>3.7999999999999985</v>
      </c>
      <c r="AD114" s="4">
        <f t="shared" si="21"/>
        <v>3.6999999999999984</v>
      </c>
      <c r="AE114" s="4">
        <f t="shared" si="21"/>
        <v>3.5999999999999983</v>
      </c>
      <c r="AF114" s="4">
        <f t="shared" si="21"/>
        <v>3.4999999999999982</v>
      </c>
      <c r="AG114" s="4">
        <f t="shared" si="21"/>
        <v>3.3999999999999981</v>
      </c>
      <c r="AH114" s="4">
        <f t="shared" si="21"/>
        <v>3.299999999999998</v>
      </c>
      <c r="AI114" s="4">
        <f t="shared" si="21"/>
        <v>3.199999999999998</v>
      </c>
      <c r="AJ114" s="4">
        <f t="shared" si="21"/>
        <v>3.0999999999999979</v>
      </c>
      <c r="AK114" s="4">
        <f t="shared" si="21"/>
        <v>2.9999999999999978</v>
      </c>
    </row>
    <row r="115" spans="3:37" outlineLevel="1" x14ac:dyDescent="0.25">
      <c r="C115" s="38">
        <v>8.6</v>
      </c>
      <c r="D115" s="4">
        <f t="shared" si="21"/>
        <v>8.4</v>
      </c>
      <c r="E115" s="4">
        <f t="shared" si="21"/>
        <v>8.2000000000000011</v>
      </c>
      <c r="F115" s="4">
        <f t="shared" si="21"/>
        <v>8.0000000000000018</v>
      </c>
      <c r="G115" s="4">
        <f t="shared" si="21"/>
        <v>7.8000000000000016</v>
      </c>
      <c r="H115" s="4">
        <f t="shared" si="21"/>
        <v>7.6000000000000014</v>
      </c>
      <c r="I115" s="4">
        <f t="shared" si="21"/>
        <v>7.4000000000000012</v>
      </c>
      <c r="J115" s="4">
        <f t="shared" si="21"/>
        <v>7.2000000000000011</v>
      </c>
      <c r="K115" s="4">
        <f t="shared" si="21"/>
        <v>7.0000000000000009</v>
      </c>
      <c r="L115" s="4">
        <f t="shared" si="21"/>
        <v>6.8000000000000007</v>
      </c>
      <c r="M115" s="4">
        <f t="shared" si="21"/>
        <v>6.6000000000000005</v>
      </c>
      <c r="N115" s="4">
        <f t="shared" si="21"/>
        <v>6.4</v>
      </c>
      <c r="O115" s="4">
        <f t="shared" si="21"/>
        <v>6.2</v>
      </c>
      <c r="P115" s="4">
        <f t="shared" si="21"/>
        <v>6</v>
      </c>
      <c r="Q115" s="4">
        <f t="shared" si="21"/>
        <v>5.8</v>
      </c>
      <c r="R115" s="4">
        <f t="shared" si="21"/>
        <v>5.6</v>
      </c>
      <c r="S115" s="4">
        <f t="shared" si="21"/>
        <v>5.3999999999999995</v>
      </c>
      <c r="T115" s="4">
        <f t="shared" si="21"/>
        <v>5.1999999999999993</v>
      </c>
      <c r="U115" s="4">
        <f t="shared" si="21"/>
        <v>4.9999999999999991</v>
      </c>
      <c r="V115" s="4">
        <f t="shared" si="21"/>
        <v>4.7999999999999989</v>
      </c>
      <c r="W115" s="4">
        <f t="shared" si="21"/>
        <v>4.5999999999999988</v>
      </c>
      <c r="X115" s="4">
        <f t="shared" si="21"/>
        <v>4.3999999999999986</v>
      </c>
      <c r="Y115" s="4">
        <f t="shared" si="21"/>
        <v>4.2999999999999989</v>
      </c>
      <c r="Z115" s="4">
        <f t="shared" si="21"/>
        <v>4.1999999999999993</v>
      </c>
      <c r="AA115" s="4">
        <f t="shared" si="21"/>
        <v>4.0999999999999996</v>
      </c>
      <c r="AB115" s="4">
        <f t="shared" si="21"/>
        <v>3.9999999999999996</v>
      </c>
      <c r="AC115" s="4">
        <f t="shared" si="21"/>
        <v>3.8999999999999995</v>
      </c>
      <c r="AD115" s="4">
        <f t="shared" si="21"/>
        <v>3.7999999999999994</v>
      </c>
      <c r="AE115" s="4">
        <f t="shared" si="21"/>
        <v>3.6999999999999993</v>
      </c>
      <c r="AF115" s="4">
        <f t="shared" si="21"/>
        <v>3.5999999999999992</v>
      </c>
      <c r="AG115" s="4">
        <f t="shared" si="21"/>
        <v>3.4999999999999991</v>
      </c>
      <c r="AH115" s="4">
        <f t="shared" si="21"/>
        <v>3.399999999999999</v>
      </c>
      <c r="AI115" s="4">
        <f t="shared" si="21"/>
        <v>3.2999999999999989</v>
      </c>
      <c r="AJ115" s="4">
        <f t="shared" si="21"/>
        <v>3.1999999999999988</v>
      </c>
      <c r="AK115" s="4">
        <f t="shared" si="21"/>
        <v>3.0999999999999988</v>
      </c>
    </row>
    <row r="116" spans="3:37" outlineLevel="1" x14ac:dyDescent="0.25">
      <c r="C116" s="38">
        <v>8.6999999999999993</v>
      </c>
      <c r="D116" s="4">
        <f t="shared" si="21"/>
        <v>8.5</v>
      </c>
      <c r="E116" s="4">
        <f t="shared" si="21"/>
        <v>8.3000000000000007</v>
      </c>
      <c r="F116" s="4">
        <f t="shared" si="21"/>
        <v>8.1000000000000014</v>
      </c>
      <c r="G116" s="4">
        <f t="shared" si="21"/>
        <v>7.9000000000000012</v>
      </c>
      <c r="H116" s="4">
        <f t="shared" si="21"/>
        <v>7.7000000000000011</v>
      </c>
      <c r="I116" s="4">
        <f t="shared" si="21"/>
        <v>7.5000000000000009</v>
      </c>
      <c r="J116" s="4">
        <f t="shared" si="21"/>
        <v>7.3000000000000007</v>
      </c>
      <c r="K116" s="4">
        <f t="shared" si="21"/>
        <v>7.1000000000000005</v>
      </c>
      <c r="L116" s="4">
        <f t="shared" si="21"/>
        <v>6.9</v>
      </c>
      <c r="M116" s="4">
        <f t="shared" si="21"/>
        <v>6.7</v>
      </c>
      <c r="N116" s="4">
        <f t="shared" si="21"/>
        <v>6.5</v>
      </c>
      <c r="O116" s="4">
        <f t="shared" si="21"/>
        <v>6.3</v>
      </c>
      <c r="P116" s="4">
        <f t="shared" si="21"/>
        <v>6.1</v>
      </c>
      <c r="Q116" s="4">
        <f t="shared" si="21"/>
        <v>5.8999999999999995</v>
      </c>
      <c r="R116" s="4">
        <f t="shared" si="21"/>
        <v>5.6999999999999993</v>
      </c>
      <c r="S116" s="4">
        <f t="shared" si="21"/>
        <v>5.4999999999999991</v>
      </c>
      <c r="T116" s="4">
        <f t="shared" si="21"/>
        <v>5.2999999999999989</v>
      </c>
      <c r="U116" s="4">
        <f t="shared" si="21"/>
        <v>5.0999999999999988</v>
      </c>
      <c r="V116" s="4">
        <f t="shared" si="21"/>
        <v>4.8999999999999986</v>
      </c>
      <c r="W116" s="4">
        <f t="shared" si="21"/>
        <v>4.6999999999999984</v>
      </c>
      <c r="X116" s="4">
        <f t="shared" si="21"/>
        <v>4.4999999999999982</v>
      </c>
      <c r="Y116" s="4">
        <f t="shared" si="21"/>
        <v>4.299999999999998</v>
      </c>
      <c r="Z116" s="4">
        <f t="shared" si="21"/>
        <v>4.1999999999999984</v>
      </c>
      <c r="AA116" s="4">
        <f t="shared" si="21"/>
        <v>4.0999999999999988</v>
      </c>
      <c r="AB116" s="4">
        <f t="shared" si="21"/>
        <v>3.9999999999999987</v>
      </c>
      <c r="AC116" s="4">
        <f t="shared" si="21"/>
        <v>3.8999999999999986</v>
      </c>
      <c r="AD116" s="4">
        <f t="shared" si="21"/>
        <v>3.7999999999999985</v>
      </c>
      <c r="AE116" s="4">
        <f t="shared" si="21"/>
        <v>3.6999999999999984</v>
      </c>
      <c r="AF116" s="4">
        <f t="shared" si="21"/>
        <v>3.5999999999999983</v>
      </c>
      <c r="AG116" s="4">
        <f t="shared" si="21"/>
        <v>3.4999999999999982</v>
      </c>
      <c r="AH116" s="4">
        <f t="shared" si="21"/>
        <v>3.3999999999999981</v>
      </c>
      <c r="AI116" s="4">
        <f t="shared" si="21"/>
        <v>3.299999999999998</v>
      </c>
      <c r="AJ116" s="4">
        <f t="shared" si="21"/>
        <v>3.199999999999998</v>
      </c>
      <c r="AK116" s="4">
        <f t="shared" si="21"/>
        <v>3.0999999999999979</v>
      </c>
    </row>
    <row r="117" spans="3:37" outlineLevel="1" x14ac:dyDescent="0.25">
      <c r="C117" s="38">
        <v>8.8000000000000007</v>
      </c>
      <c r="D117" s="4">
        <f t="shared" si="21"/>
        <v>8.6000000000000014</v>
      </c>
      <c r="E117" s="4">
        <f t="shared" si="21"/>
        <v>8.4000000000000021</v>
      </c>
      <c r="F117" s="4">
        <f t="shared" si="21"/>
        <v>8.2000000000000028</v>
      </c>
      <c r="G117" s="4">
        <f t="shared" si="21"/>
        <v>8.0000000000000036</v>
      </c>
      <c r="H117" s="4">
        <f t="shared" si="21"/>
        <v>7.8000000000000034</v>
      </c>
      <c r="I117" s="4">
        <f t="shared" si="21"/>
        <v>7.6000000000000032</v>
      </c>
      <c r="J117" s="4">
        <f t="shared" si="21"/>
        <v>7.400000000000003</v>
      </c>
      <c r="K117" s="4">
        <f t="shared" si="21"/>
        <v>7.2000000000000028</v>
      </c>
      <c r="L117" s="4">
        <f t="shared" si="21"/>
        <v>7.0000000000000027</v>
      </c>
      <c r="M117" s="4">
        <f t="shared" si="21"/>
        <v>6.8000000000000025</v>
      </c>
      <c r="N117" s="4">
        <f t="shared" si="21"/>
        <v>6.6000000000000023</v>
      </c>
      <c r="O117" s="4">
        <f t="shared" si="21"/>
        <v>6.4000000000000021</v>
      </c>
      <c r="P117" s="4">
        <f t="shared" si="21"/>
        <v>6.200000000000002</v>
      </c>
      <c r="Q117" s="4">
        <f t="shared" si="21"/>
        <v>6.0000000000000018</v>
      </c>
      <c r="R117" s="4">
        <f t="shared" si="21"/>
        <v>5.8000000000000016</v>
      </c>
      <c r="S117" s="4">
        <f t="shared" si="21"/>
        <v>5.6000000000000014</v>
      </c>
      <c r="T117" s="4">
        <f t="shared" si="21"/>
        <v>5.4000000000000012</v>
      </c>
      <c r="U117" s="4">
        <f t="shared" si="21"/>
        <v>5.2000000000000011</v>
      </c>
      <c r="V117" s="4">
        <f t="shared" si="21"/>
        <v>5.0000000000000009</v>
      </c>
      <c r="W117" s="4">
        <f t="shared" si="21"/>
        <v>4.8000000000000007</v>
      </c>
      <c r="X117" s="4">
        <f t="shared" si="21"/>
        <v>4.6000000000000005</v>
      </c>
      <c r="Y117" s="4">
        <f t="shared" si="21"/>
        <v>4.4000000000000004</v>
      </c>
      <c r="Z117" s="4">
        <f t="shared" si="21"/>
        <v>4.3000000000000007</v>
      </c>
      <c r="AA117" s="4">
        <f t="shared" si="21"/>
        <v>4.2000000000000011</v>
      </c>
      <c r="AB117" s="4">
        <f t="shared" si="21"/>
        <v>4.1000000000000014</v>
      </c>
      <c r="AC117" s="4">
        <f t="shared" si="21"/>
        <v>4.0000000000000018</v>
      </c>
      <c r="AD117" s="4">
        <f t="shared" si="21"/>
        <v>3.9000000000000017</v>
      </c>
      <c r="AE117" s="4">
        <f t="shared" si="21"/>
        <v>3.8000000000000016</v>
      </c>
      <c r="AF117" s="4">
        <f t="shared" si="21"/>
        <v>3.7000000000000015</v>
      </c>
      <c r="AG117" s="4">
        <f t="shared" si="21"/>
        <v>3.6000000000000014</v>
      </c>
      <c r="AH117" s="4">
        <f t="shared" si="21"/>
        <v>3.5000000000000013</v>
      </c>
      <c r="AI117" s="4">
        <f t="shared" si="21"/>
        <v>3.4000000000000012</v>
      </c>
      <c r="AJ117" s="4">
        <f t="shared" si="21"/>
        <v>3.3000000000000012</v>
      </c>
      <c r="AK117" s="4">
        <f t="shared" si="21"/>
        <v>3.2000000000000011</v>
      </c>
    </row>
    <row r="118" spans="3:37" outlineLevel="1" x14ac:dyDescent="0.25">
      <c r="C118" s="38">
        <v>8.9</v>
      </c>
      <c r="D118" s="4">
        <f t="shared" si="21"/>
        <v>8.7000000000000011</v>
      </c>
      <c r="E118" s="4">
        <f t="shared" si="21"/>
        <v>8.5000000000000018</v>
      </c>
      <c r="F118" s="4">
        <f t="shared" si="21"/>
        <v>8.3000000000000025</v>
      </c>
      <c r="G118" s="4">
        <f t="shared" si="21"/>
        <v>8.1000000000000032</v>
      </c>
      <c r="H118" s="4">
        <f t="shared" si="21"/>
        <v>7.900000000000003</v>
      </c>
      <c r="I118" s="4">
        <f t="shared" si="21"/>
        <v>7.7000000000000028</v>
      </c>
      <c r="J118" s="4">
        <f t="shared" si="21"/>
        <v>7.5000000000000027</v>
      </c>
      <c r="K118" s="4">
        <f t="shared" si="21"/>
        <v>7.3000000000000025</v>
      </c>
      <c r="L118" s="4">
        <f t="shared" si="21"/>
        <v>7.1000000000000023</v>
      </c>
      <c r="M118" s="4">
        <f t="shared" si="21"/>
        <v>6.9000000000000021</v>
      </c>
      <c r="N118" s="4">
        <f t="shared" si="21"/>
        <v>6.700000000000002</v>
      </c>
      <c r="O118" s="4">
        <f t="shared" si="21"/>
        <v>6.5000000000000018</v>
      </c>
      <c r="P118" s="4">
        <f t="shared" si="21"/>
        <v>6.3000000000000016</v>
      </c>
      <c r="Q118" s="4">
        <f t="shared" si="21"/>
        <v>6.1000000000000014</v>
      </c>
      <c r="R118" s="4">
        <f t="shared" si="21"/>
        <v>5.9000000000000012</v>
      </c>
      <c r="S118" s="4">
        <f t="shared" si="21"/>
        <v>5.7000000000000011</v>
      </c>
      <c r="T118" s="4">
        <f t="shared" si="21"/>
        <v>5.5000000000000009</v>
      </c>
      <c r="U118" s="4">
        <f t="shared" si="21"/>
        <v>5.3000000000000007</v>
      </c>
      <c r="V118" s="4">
        <f t="shared" si="21"/>
        <v>5.1000000000000005</v>
      </c>
      <c r="W118" s="4">
        <f t="shared" si="21"/>
        <v>4.9000000000000004</v>
      </c>
      <c r="X118" s="4">
        <f t="shared" si="21"/>
        <v>4.7</v>
      </c>
      <c r="Y118" s="4">
        <f t="shared" si="21"/>
        <v>4.5</v>
      </c>
      <c r="Z118" s="4">
        <f t="shared" si="21"/>
        <v>4.3</v>
      </c>
      <c r="AA118" s="4">
        <f t="shared" si="21"/>
        <v>4.2</v>
      </c>
      <c r="AB118" s="4">
        <f t="shared" si="21"/>
        <v>4.1000000000000005</v>
      </c>
      <c r="AC118" s="4">
        <f t="shared" si="21"/>
        <v>4.0000000000000009</v>
      </c>
      <c r="AD118" s="4">
        <f t="shared" si="21"/>
        <v>3.9000000000000008</v>
      </c>
      <c r="AE118" s="4">
        <f t="shared" si="21"/>
        <v>3.8000000000000007</v>
      </c>
      <c r="AF118" s="4">
        <f t="shared" si="21"/>
        <v>3.7000000000000006</v>
      </c>
      <c r="AG118" s="4">
        <f t="shared" si="21"/>
        <v>3.6000000000000005</v>
      </c>
      <c r="AH118" s="4">
        <f t="shared" si="21"/>
        <v>3.5000000000000004</v>
      </c>
      <c r="AI118" s="4">
        <f t="shared" si="21"/>
        <v>3.4000000000000004</v>
      </c>
      <c r="AJ118" s="4">
        <f t="shared" si="21"/>
        <v>3.3000000000000003</v>
      </c>
      <c r="AK118" s="4">
        <f t="shared" si="21"/>
        <v>3.2</v>
      </c>
    </row>
    <row r="119" spans="3:37" outlineLevel="1" x14ac:dyDescent="0.25">
      <c r="C119" s="38">
        <v>9</v>
      </c>
      <c r="D119" s="4">
        <f t="shared" si="21"/>
        <v>8.8000000000000007</v>
      </c>
      <c r="E119" s="4">
        <f t="shared" si="21"/>
        <v>8.6000000000000014</v>
      </c>
      <c r="F119" s="4">
        <f t="shared" si="21"/>
        <v>8.4000000000000021</v>
      </c>
      <c r="G119" s="4">
        <f t="shared" si="21"/>
        <v>8.2000000000000028</v>
      </c>
      <c r="H119" s="4">
        <f t="shared" si="21"/>
        <v>8.0000000000000036</v>
      </c>
      <c r="I119" s="4">
        <f t="shared" si="21"/>
        <v>7.8000000000000034</v>
      </c>
      <c r="J119" s="4">
        <f t="shared" si="21"/>
        <v>7.6000000000000032</v>
      </c>
      <c r="K119" s="4">
        <f t="shared" si="21"/>
        <v>7.400000000000003</v>
      </c>
      <c r="L119" s="4">
        <f t="shared" si="21"/>
        <v>7.2000000000000028</v>
      </c>
      <c r="M119" s="4">
        <f t="shared" si="21"/>
        <v>7.0000000000000027</v>
      </c>
      <c r="N119" s="4">
        <f t="shared" si="21"/>
        <v>6.8000000000000025</v>
      </c>
      <c r="O119" s="4">
        <f t="shared" si="21"/>
        <v>6.6000000000000023</v>
      </c>
      <c r="P119" s="4">
        <f t="shared" si="21"/>
        <v>6.4000000000000021</v>
      </c>
      <c r="Q119" s="4">
        <f t="shared" si="21"/>
        <v>6.200000000000002</v>
      </c>
      <c r="R119" s="4">
        <f t="shared" si="21"/>
        <v>6.0000000000000018</v>
      </c>
      <c r="S119" s="4">
        <f t="shared" si="21"/>
        <v>5.8000000000000016</v>
      </c>
      <c r="T119" s="4">
        <f t="shared" si="21"/>
        <v>5.6000000000000014</v>
      </c>
      <c r="U119" s="4">
        <f t="shared" si="21"/>
        <v>5.4000000000000012</v>
      </c>
      <c r="V119" s="4">
        <f t="shared" si="21"/>
        <v>5.2000000000000011</v>
      </c>
      <c r="W119" s="4">
        <f t="shared" si="21"/>
        <v>5.0000000000000009</v>
      </c>
      <c r="X119" s="4">
        <f t="shared" si="21"/>
        <v>4.8000000000000007</v>
      </c>
      <c r="Y119" s="4">
        <f t="shared" si="21"/>
        <v>4.6000000000000005</v>
      </c>
      <c r="Z119" s="4">
        <f t="shared" si="21"/>
        <v>4.4000000000000004</v>
      </c>
      <c r="AA119" s="4">
        <f t="shared" si="21"/>
        <v>4.3000000000000007</v>
      </c>
      <c r="AB119" s="4">
        <f t="shared" si="21"/>
        <v>4.2000000000000011</v>
      </c>
      <c r="AC119" s="4">
        <f t="shared" si="21"/>
        <v>4.1000000000000014</v>
      </c>
      <c r="AD119" s="4">
        <f t="shared" si="21"/>
        <v>4.0000000000000018</v>
      </c>
      <c r="AE119" s="4">
        <f t="shared" si="21"/>
        <v>3.9000000000000017</v>
      </c>
      <c r="AF119" s="4">
        <f t="shared" si="21"/>
        <v>3.8000000000000016</v>
      </c>
      <c r="AG119" s="4">
        <f t="shared" si="21"/>
        <v>3.7000000000000015</v>
      </c>
      <c r="AH119" s="4">
        <f t="shared" si="21"/>
        <v>3.6000000000000014</v>
      </c>
      <c r="AI119" s="4">
        <f t="shared" si="21"/>
        <v>3.5000000000000013</v>
      </c>
      <c r="AJ119" s="4">
        <f t="shared" si="21"/>
        <v>3.4000000000000012</v>
      </c>
      <c r="AK119" s="4">
        <f t="shared" si="21"/>
        <v>3.3000000000000012</v>
      </c>
    </row>
    <row r="120" spans="3:37" outlineLevel="1" x14ac:dyDescent="0.25">
      <c r="C120" s="38">
        <v>9.1</v>
      </c>
      <c r="D120" s="4">
        <f t="shared" si="21"/>
        <v>8.9</v>
      </c>
      <c r="E120" s="4">
        <f t="shared" si="21"/>
        <v>8.7000000000000011</v>
      </c>
      <c r="F120" s="4">
        <f t="shared" si="21"/>
        <v>8.5000000000000018</v>
      </c>
      <c r="G120" s="4">
        <f t="shared" si="21"/>
        <v>8.3000000000000025</v>
      </c>
      <c r="H120" s="4">
        <f t="shared" si="21"/>
        <v>8.1000000000000032</v>
      </c>
      <c r="I120" s="4">
        <f t="shared" si="21"/>
        <v>7.900000000000003</v>
      </c>
      <c r="J120" s="4">
        <f t="shared" si="21"/>
        <v>7.7000000000000028</v>
      </c>
      <c r="K120" s="4">
        <f t="shared" si="21"/>
        <v>7.5000000000000027</v>
      </c>
      <c r="L120" s="4">
        <f t="shared" si="21"/>
        <v>7.3000000000000025</v>
      </c>
      <c r="M120" s="4">
        <f t="shared" si="21"/>
        <v>7.1000000000000023</v>
      </c>
      <c r="N120" s="4">
        <f t="shared" si="21"/>
        <v>6.9000000000000021</v>
      </c>
      <c r="O120" s="4">
        <f t="shared" si="21"/>
        <v>6.700000000000002</v>
      </c>
      <c r="P120" s="4">
        <f t="shared" si="21"/>
        <v>6.5000000000000018</v>
      </c>
      <c r="Q120" s="4">
        <f t="shared" si="21"/>
        <v>6.3000000000000016</v>
      </c>
      <c r="R120" s="4">
        <f t="shared" si="21"/>
        <v>6.1000000000000014</v>
      </c>
      <c r="S120" s="4">
        <f t="shared" si="21"/>
        <v>5.9000000000000012</v>
      </c>
      <c r="T120" s="4">
        <f t="shared" si="21"/>
        <v>5.7000000000000011</v>
      </c>
      <c r="U120" s="4">
        <f t="shared" ref="U120:AK120" si="22">(IF(T120&lt;=4.4,T120-$E$6,IF(AND(T120&gt;=4.5,T120&lt;=11.4),T120-$E$7,IF(AND(T120&gt;=11.5,T120&lt;=18.4),T120-$E$8,IF(AND(T120&gt;=18.5,T120&lt;=26.4),T120-$E$9,IF(AND(T120&gt;=26.4,T120&lt;=36),T120-$E$10,IF(T120&gt;=37,T120-$E$11)))))))</f>
        <v>5.5000000000000009</v>
      </c>
      <c r="V120" s="4">
        <f t="shared" si="22"/>
        <v>5.3000000000000007</v>
      </c>
      <c r="W120" s="4">
        <f t="shared" si="22"/>
        <v>5.1000000000000005</v>
      </c>
      <c r="X120" s="4">
        <f t="shared" si="22"/>
        <v>4.9000000000000004</v>
      </c>
      <c r="Y120" s="4">
        <f t="shared" si="22"/>
        <v>4.7</v>
      </c>
      <c r="Z120" s="4">
        <f t="shared" si="22"/>
        <v>4.5</v>
      </c>
      <c r="AA120" s="4">
        <f t="shared" si="22"/>
        <v>4.3</v>
      </c>
      <c r="AB120" s="4">
        <f t="shared" si="22"/>
        <v>4.2</v>
      </c>
      <c r="AC120" s="4">
        <f t="shared" si="22"/>
        <v>4.1000000000000005</v>
      </c>
      <c r="AD120" s="4">
        <f t="shared" si="22"/>
        <v>4.0000000000000009</v>
      </c>
      <c r="AE120" s="4">
        <f t="shared" si="22"/>
        <v>3.9000000000000008</v>
      </c>
      <c r="AF120" s="4">
        <f t="shared" si="22"/>
        <v>3.8000000000000007</v>
      </c>
      <c r="AG120" s="4">
        <f t="shared" si="22"/>
        <v>3.7000000000000006</v>
      </c>
      <c r="AH120" s="4">
        <f t="shared" si="22"/>
        <v>3.6000000000000005</v>
      </c>
      <c r="AI120" s="4">
        <f t="shared" si="22"/>
        <v>3.5000000000000004</v>
      </c>
      <c r="AJ120" s="4">
        <f t="shared" si="22"/>
        <v>3.4000000000000004</v>
      </c>
      <c r="AK120" s="4">
        <f t="shared" si="22"/>
        <v>3.3000000000000003</v>
      </c>
    </row>
    <row r="121" spans="3:37" outlineLevel="1" x14ac:dyDescent="0.25">
      <c r="C121" s="38">
        <v>9.1999999999999993</v>
      </c>
      <c r="D121" s="4">
        <f t="shared" ref="D121:AK128" si="23">(IF(C121&lt;=4.4,C121-$E$6,IF(AND(C121&gt;=4.5,C121&lt;=11.4),C121-$E$7,IF(AND(C121&gt;=11.5,C121&lt;=18.4),C121-$E$8,IF(AND(C121&gt;=18.5,C121&lt;=26.4),C121-$E$9,IF(AND(C121&gt;=26.4,C121&lt;=36),C121-$E$10,IF(C121&gt;=37,C121-$E$11)))))))</f>
        <v>9</v>
      </c>
      <c r="E121" s="4">
        <f t="shared" si="23"/>
        <v>8.8000000000000007</v>
      </c>
      <c r="F121" s="4">
        <f t="shared" si="23"/>
        <v>8.6000000000000014</v>
      </c>
      <c r="G121" s="4">
        <f t="shared" si="23"/>
        <v>8.4000000000000021</v>
      </c>
      <c r="H121" s="4">
        <f t="shared" si="23"/>
        <v>8.2000000000000028</v>
      </c>
      <c r="I121" s="4">
        <f t="shared" si="23"/>
        <v>8.0000000000000036</v>
      </c>
      <c r="J121" s="4">
        <f t="shared" si="23"/>
        <v>7.8000000000000034</v>
      </c>
      <c r="K121" s="4">
        <f t="shared" si="23"/>
        <v>7.6000000000000032</v>
      </c>
      <c r="L121" s="4">
        <f t="shared" si="23"/>
        <v>7.400000000000003</v>
      </c>
      <c r="M121" s="4">
        <f t="shared" si="23"/>
        <v>7.2000000000000028</v>
      </c>
      <c r="N121" s="4">
        <f t="shared" si="23"/>
        <v>7.0000000000000027</v>
      </c>
      <c r="O121" s="4">
        <f t="shared" si="23"/>
        <v>6.8000000000000025</v>
      </c>
      <c r="P121" s="4">
        <f t="shared" si="23"/>
        <v>6.6000000000000023</v>
      </c>
      <c r="Q121" s="4">
        <f t="shared" si="23"/>
        <v>6.4000000000000021</v>
      </c>
      <c r="R121" s="4">
        <f t="shared" si="23"/>
        <v>6.200000000000002</v>
      </c>
      <c r="S121" s="4">
        <f t="shared" si="23"/>
        <v>6.0000000000000018</v>
      </c>
      <c r="T121" s="4">
        <f t="shared" si="23"/>
        <v>5.8000000000000016</v>
      </c>
      <c r="U121" s="4">
        <f t="shared" si="23"/>
        <v>5.6000000000000014</v>
      </c>
      <c r="V121" s="4">
        <f t="shared" si="23"/>
        <v>5.4000000000000012</v>
      </c>
      <c r="W121" s="4">
        <f t="shared" si="23"/>
        <v>5.2000000000000011</v>
      </c>
      <c r="X121" s="4">
        <f t="shared" si="23"/>
        <v>5.0000000000000009</v>
      </c>
      <c r="Y121" s="4">
        <f t="shared" si="23"/>
        <v>4.8000000000000007</v>
      </c>
      <c r="Z121" s="4">
        <f t="shared" si="23"/>
        <v>4.6000000000000005</v>
      </c>
      <c r="AA121" s="4">
        <f t="shared" si="23"/>
        <v>4.4000000000000004</v>
      </c>
      <c r="AB121" s="4">
        <f t="shared" si="23"/>
        <v>4.3000000000000007</v>
      </c>
      <c r="AC121" s="4">
        <f t="shared" si="23"/>
        <v>4.2000000000000011</v>
      </c>
      <c r="AD121" s="4">
        <f t="shared" si="23"/>
        <v>4.1000000000000014</v>
      </c>
      <c r="AE121" s="4">
        <f t="shared" si="23"/>
        <v>4.0000000000000018</v>
      </c>
      <c r="AF121" s="4">
        <f t="shared" si="23"/>
        <v>3.9000000000000017</v>
      </c>
      <c r="AG121" s="4">
        <f t="shared" si="23"/>
        <v>3.8000000000000016</v>
      </c>
      <c r="AH121" s="4">
        <f t="shared" si="23"/>
        <v>3.7000000000000015</v>
      </c>
      <c r="AI121" s="4">
        <f t="shared" si="23"/>
        <v>3.6000000000000014</v>
      </c>
      <c r="AJ121" s="4">
        <f t="shared" si="23"/>
        <v>3.5000000000000013</v>
      </c>
      <c r="AK121" s="4">
        <f t="shared" si="23"/>
        <v>3.4000000000000012</v>
      </c>
    </row>
    <row r="122" spans="3:37" outlineLevel="1" x14ac:dyDescent="0.25">
      <c r="C122" s="38">
        <v>9.3000000000000007</v>
      </c>
      <c r="D122" s="4">
        <f t="shared" si="23"/>
        <v>9.1000000000000014</v>
      </c>
      <c r="E122" s="4">
        <f t="shared" si="23"/>
        <v>8.9000000000000021</v>
      </c>
      <c r="F122" s="4">
        <f t="shared" si="23"/>
        <v>8.7000000000000028</v>
      </c>
      <c r="G122" s="4">
        <f t="shared" si="23"/>
        <v>8.5000000000000036</v>
      </c>
      <c r="H122" s="4">
        <f t="shared" si="23"/>
        <v>8.3000000000000043</v>
      </c>
      <c r="I122" s="4">
        <f t="shared" si="23"/>
        <v>8.100000000000005</v>
      </c>
      <c r="J122" s="4">
        <f t="shared" si="23"/>
        <v>7.9000000000000048</v>
      </c>
      <c r="K122" s="4">
        <f t="shared" si="23"/>
        <v>7.7000000000000046</v>
      </c>
      <c r="L122" s="4">
        <f t="shared" si="23"/>
        <v>7.5000000000000044</v>
      </c>
      <c r="M122" s="4">
        <f t="shared" si="23"/>
        <v>7.3000000000000043</v>
      </c>
      <c r="N122" s="4">
        <f t="shared" si="23"/>
        <v>7.1000000000000041</v>
      </c>
      <c r="O122" s="4">
        <f t="shared" si="23"/>
        <v>6.9000000000000039</v>
      </c>
      <c r="P122" s="4">
        <f t="shared" si="23"/>
        <v>6.7000000000000037</v>
      </c>
      <c r="Q122" s="4">
        <f t="shared" si="23"/>
        <v>6.5000000000000036</v>
      </c>
      <c r="R122" s="4">
        <f t="shared" si="23"/>
        <v>6.3000000000000034</v>
      </c>
      <c r="S122" s="4">
        <f t="shared" si="23"/>
        <v>6.1000000000000032</v>
      </c>
      <c r="T122" s="4">
        <f t="shared" si="23"/>
        <v>5.900000000000003</v>
      </c>
      <c r="U122" s="4">
        <f t="shared" si="23"/>
        <v>5.7000000000000028</v>
      </c>
      <c r="V122" s="4">
        <f t="shared" si="23"/>
        <v>5.5000000000000027</v>
      </c>
      <c r="W122" s="4">
        <f t="shared" si="23"/>
        <v>5.3000000000000025</v>
      </c>
      <c r="X122" s="4">
        <f t="shared" si="23"/>
        <v>5.1000000000000023</v>
      </c>
      <c r="Y122" s="4">
        <f t="shared" si="23"/>
        <v>4.9000000000000021</v>
      </c>
      <c r="Z122" s="4">
        <f t="shared" si="23"/>
        <v>4.700000000000002</v>
      </c>
      <c r="AA122" s="4">
        <f t="shared" si="23"/>
        <v>4.5000000000000018</v>
      </c>
      <c r="AB122" s="4">
        <f t="shared" si="23"/>
        <v>4.3000000000000016</v>
      </c>
      <c r="AC122" s="4">
        <f t="shared" si="23"/>
        <v>4.200000000000002</v>
      </c>
      <c r="AD122" s="4">
        <f t="shared" si="23"/>
        <v>4.1000000000000023</v>
      </c>
      <c r="AE122" s="4">
        <f t="shared" si="23"/>
        <v>4.0000000000000027</v>
      </c>
      <c r="AF122" s="4">
        <f t="shared" si="23"/>
        <v>3.9000000000000026</v>
      </c>
      <c r="AG122" s="4">
        <f t="shared" si="23"/>
        <v>3.8000000000000025</v>
      </c>
      <c r="AH122" s="4">
        <f t="shared" si="23"/>
        <v>3.7000000000000024</v>
      </c>
      <c r="AI122" s="4">
        <f t="shared" si="23"/>
        <v>3.6000000000000023</v>
      </c>
      <c r="AJ122" s="4">
        <f t="shared" si="23"/>
        <v>3.5000000000000022</v>
      </c>
      <c r="AK122" s="4">
        <f t="shared" si="23"/>
        <v>3.4000000000000021</v>
      </c>
    </row>
    <row r="123" spans="3:37" outlineLevel="1" x14ac:dyDescent="0.25">
      <c r="C123" s="38">
        <v>9.4</v>
      </c>
      <c r="D123" s="4">
        <f t="shared" si="23"/>
        <v>9.2000000000000011</v>
      </c>
      <c r="E123" s="4">
        <f t="shared" si="23"/>
        <v>9.0000000000000018</v>
      </c>
      <c r="F123" s="4">
        <f t="shared" si="23"/>
        <v>8.8000000000000025</v>
      </c>
      <c r="G123" s="4">
        <f t="shared" si="23"/>
        <v>8.6000000000000032</v>
      </c>
      <c r="H123" s="4">
        <f t="shared" si="23"/>
        <v>8.4000000000000039</v>
      </c>
      <c r="I123" s="4">
        <f t="shared" si="23"/>
        <v>8.2000000000000046</v>
      </c>
      <c r="J123" s="4">
        <f t="shared" si="23"/>
        <v>8.0000000000000053</v>
      </c>
      <c r="K123" s="4">
        <f t="shared" si="23"/>
        <v>7.8000000000000052</v>
      </c>
      <c r="L123" s="4">
        <f t="shared" si="23"/>
        <v>7.600000000000005</v>
      </c>
      <c r="M123" s="4">
        <f t="shared" si="23"/>
        <v>7.4000000000000048</v>
      </c>
      <c r="N123" s="4">
        <f t="shared" si="23"/>
        <v>7.2000000000000046</v>
      </c>
      <c r="O123" s="4">
        <f t="shared" si="23"/>
        <v>7.0000000000000044</v>
      </c>
      <c r="P123" s="4">
        <f t="shared" si="23"/>
        <v>6.8000000000000043</v>
      </c>
      <c r="Q123" s="4">
        <f t="shared" si="23"/>
        <v>6.6000000000000041</v>
      </c>
      <c r="R123" s="4">
        <f t="shared" si="23"/>
        <v>6.4000000000000039</v>
      </c>
      <c r="S123" s="4">
        <f t="shared" si="23"/>
        <v>6.2000000000000037</v>
      </c>
      <c r="T123" s="4">
        <f t="shared" si="23"/>
        <v>6.0000000000000036</v>
      </c>
      <c r="U123" s="4">
        <f t="shared" si="23"/>
        <v>5.8000000000000034</v>
      </c>
      <c r="V123" s="4">
        <f t="shared" si="23"/>
        <v>5.6000000000000032</v>
      </c>
      <c r="W123" s="4">
        <f t="shared" si="23"/>
        <v>5.400000000000003</v>
      </c>
      <c r="X123" s="4">
        <f t="shared" si="23"/>
        <v>5.2000000000000028</v>
      </c>
      <c r="Y123" s="4">
        <f t="shared" si="23"/>
        <v>5.0000000000000027</v>
      </c>
      <c r="Z123" s="4">
        <f t="shared" si="23"/>
        <v>4.8000000000000025</v>
      </c>
      <c r="AA123" s="4">
        <f t="shared" si="23"/>
        <v>4.6000000000000023</v>
      </c>
      <c r="AB123" s="4">
        <f t="shared" si="23"/>
        <v>4.4000000000000021</v>
      </c>
      <c r="AC123" s="4">
        <f t="shared" si="23"/>
        <v>4.3000000000000025</v>
      </c>
      <c r="AD123" s="4">
        <f t="shared" si="23"/>
        <v>4.2000000000000028</v>
      </c>
      <c r="AE123" s="4">
        <f t="shared" si="23"/>
        <v>4.1000000000000032</v>
      </c>
      <c r="AF123" s="4">
        <f t="shared" si="23"/>
        <v>4.0000000000000036</v>
      </c>
      <c r="AG123" s="4">
        <f t="shared" si="23"/>
        <v>3.9000000000000035</v>
      </c>
      <c r="AH123" s="4">
        <f t="shared" si="23"/>
        <v>3.8000000000000034</v>
      </c>
      <c r="AI123" s="4">
        <f t="shared" si="23"/>
        <v>3.7000000000000033</v>
      </c>
      <c r="AJ123" s="4">
        <f t="shared" si="23"/>
        <v>3.6000000000000032</v>
      </c>
      <c r="AK123" s="4">
        <f t="shared" si="23"/>
        <v>3.5000000000000031</v>
      </c>
    </row>
    <row r="124" spans="3:37" outlineLevel="1" x14ac:dyDescent="0.25">
      <c r="C124" s="38">
        <v>9.5</v>
      </c>
      <c r="D124" s="4">
        <f t="shared" si="23"/>
        <v>9.3000000000000007</v>
      </c>
      <c r="E124" s="4">
        <f t="shared" si="23"/>
        <v>9.1000000000000014</v>
      </c>
      <c r="F124" s="4">
        <f t="shared" si="23"/>
        <v>8.9000000000000021</v>
      </c>
      <c r="G124" s="4">
        <f t="shared" si="23"/>
        <v>8.7000000000000028</v>
      </c>
      <c r="H124" s="4">
        <f t="shared" si="23"/>
        <v>8.5000000000000036</v>
      </c>
      <c r="I124" s="4">
        <f t="shared" si="23"/>
        <v>8.3000000000000043</v>
      </c>
      <c r="J124" s="4">
        <f t="shared" si="23"/>
        <v>8.100000000000005</v>
      </c>
      <c r="K124" s="4">
        <f t="shared" si="23"/>
        <v>7.9000000000000048</v>
      </c>
      <c r="L124" s="4">
        <f t="shared" si="23"/>
        <v>7.7000000000000046</v>
      </c>
      <c r="M124" s="4">
        <f t="shared" si="23"/>
        <v>7.5000000000000044</v>
      </c>
      <c r="N124" s="4">
        <f t="shared" si="23"/>
        <v>7.3000000000000043</v>
      </c>
      <c r="O124" s="4">
        <f t="shared" si="23"/>
        <v>7.1000000000000041</v>
      </c>
      <c r="P124" s="4">
        <f t="shared" si="23"/>
        <v>6.9000000000000039</v>
      </c>
      <c r="Q124" s="4">
        <f t="shared" si="23"/>
        <v>6.7000000000000037</v>
      </c>
      <c r="R124" s="4">
        <f t="shared" si="23"/>
        <v>6.5000000000000036</v>
      </c>
      <c r="S124" s="4">
        <f t="shared" si="23"/>
        <v>6.3000000000000034</v>
      </c>
      <c r="T124" s="4">
        <f t="shared" si="23"/>
        <v>6.1000000000000032</v>
      </c>
      <c r="U124" s="4">
        <f t="shared" si="23"/>
        <v>5.900000000000003</v>
      </c>
      <c r="V124" s="4">
        <f t="shared" si="23"/>
        <v>5.7000000000000028</v>
      </c>
      <c r="W124" s="4">
        <f t="shared" si="23"/>
        <v>5.5000000000000027</v>
      </c>
      <c r="X124" s="4">
        <f t="shared" si="23"/>
        <v>5.3000000000000025</v>
      </c>
      <c r="Y124" s="4">
        <f t="shared" si="23"/>
        <v>5.1000000000000023</v>
      </c>
      <c r="Z124" s="4">
        <f t="shared" si="23"/>
        <v>4.9000000000000021</v>
      </c>
      <c r="AA124" s="4">
        <f t="shared" si="23"/>
        <v>4.700000000000002</v>
      </c>
      <c r="AB124" s="4">
        <f t="shared" si="23"/>
        <v>4.5000000000000018</v>
      </c>
      <c r="AC124" s="4">
        <f t="shared" si="23"/>
        <v>4.3000000000000016</v>
      </c>
      <c r="AD124" s="4">
        <f t="shared" si="23"/>
        <v>4.200000000000002</v>
      </c>
      <c r="AE124" s="4">
        <f t="shared" si="23"/>
        <v>4.1000000000000023</v>
      </c>
      <c r="AF124" s="4">
        <f t="shared" si="23"/>
        <v>4.0000000000000027</v>
      </c>
      <c r="AG124" s="4">
        <f t="shared" si="23"/>
        <v>3.9000000000000026</v>
      </c>
      <c r="AH124" s="4">
        <f t="shared" si="23"/>
        <v>3.8000000000000025</v>
      </c>
      <c r="AI124" s="4">
        <f t="shared" si="23"/>
        <v>3.7000000000000024</v>
      </c>
      <c r="AJ124" s="4">
        <f t="shared" si="23"/>
        <v>3.6000000000000023</v>
      </c>
      <c r="AK124" s="4">
        <f t="shared" si="23"/>
        <v>3.5000000000000022</v>
      </c>
    </row>
    <row r="125" spans="3:37" outlineLevel="1" x14ac:dyDescent="0.25">
      <c r="C125" s="38">
        <v>9.6</v>
      </c>
      <c r="D125" s="4">
        <f t="shared" si="23"/>
        <v>9.4</v>
      </c>
      <c r="E125" s="4">
        <f t="shared" si="23"/>
        <v>9.2000000000000011</v>
      </c>
      <c r="F125" s="4">
        <f t="shared" si="23"/>
        <v>9.0000000000000018</v>
      </c>
      <c r="G125" s="4">
        <f t="shared" si="23"/>
        <v>8.8000000000000025</v>
      </c>
      <c r="H125" s="4">
        <f t="shared" si="23"/>
        <v>8.6000000000000032</v>
      </c>
      <c r="I125" s="4">
        <f t="shared" si="23"/>
        <v>8.4000000000000039</v>
      </c>
      <c r="J125" s="4">
        <f t="shared" si="23"/>
        <v>8.2000000000000046</v>
      </c>
      <c r="K125" s="4">
        <f t="shared" si="23"/>
        <v>8.0000000000000053</v>
      </c>
      <c r="L125" s="4">
        <f t="shared" si="23"/>
        <v>7.8000000000000052</v>
      </c>
      <c r="M125" s="4">
        <f t="shared" si="23"/>
        <v>7.600000000000005</v>
      </c>
      <c r="N125" s="4">
        <f t="shared" si="23"/>
        <v>7.4000000000000048</v>
      </c>
      <c r="O125" s="4">
        <f t="shared" si="23"/>
        <v>7.2000000000000046</v>
      </c>
      <c r="P125" s="4">
        <f t="shared" si="23"/>
        <v>7.0000000000000044</v>
      </c>
      <c r="Q125" s="4">
        <f t="shared" si="23"/>
        <v>6.8000000000000043</v>
      </c>
      <c r="R125" s="4">
        <f t="shared" si="23"/>
        <v>6.6000000000000041</v>
      </c>
      <c r="S125" s="4">
        <f t="shared" si="23"/>
        <v>6.4000000000000039</v>
      </c>
      <c r="T125" s="4">
        <f t="shared" si="23"/>
        <v>6.2000000000000037</v>
      </c>
      <c r="U125" s="4">
        <f t="shared" si="23"/>
        <v>6.0000000000000036</v>
      </c>
      <c r="V125" s="4">
        <f t="shared" si="23"/>
        <v>5.8000000000000034</v>
      </c>
      <c r="W125" s="4">
        <f t="shared" si="23"/>
        <v>5.6000000000000032</v>
      </c>
      <c r="X125" s="4">
        <f t="shared" si="23"/>
        <v>5.400000000000003</v>
      </c>
      <c r="Y125" s="4">
        <f t="shared" si="23"/>
        <v>5.2000000000000028</v>
      </c>
      <c r="Z125" s="4">
        <f t="shared" si="23"/>
        <v>5.0000000000000027</v>
      </c>
      <c r="AA125" s="4">
        <f t="shared" si="23"/>
        <v>4.8000000000000025</v>
      </c>
      <c r="AB125" s="4">
        <f t="shared" si="23"/>
        <v>4.6000000000000023</v>
      </c>
      <c r="AC125" s="4">
        <f t="shared" si="23"/>
        <v>4.4000000000000021</v>
      </c>
      <c r="AD125" s="4">
        <f t="shared" si="23"/>
        <v>4.3000000000000025</v>
      </c>
      <c r="AE125" s="4">
        <f t="shared" si="23"/>
        <v>4.2000000000000028</v>
      </c>
      <c r="AF125" s="4">
        <f t="shared" si="23"/>
        <v>4.1000000000000032</v>
      </c>
      <c r="AG125" s="4">
        <f t="shared" si="23"/>
        <v>4.0000000000000036</v>
      </c>
      <c r="AH125" s="4">
        <f t="shared" si="23"/>
        <v>3.9000000000000035</v>
      </c>
      <c r="AI125" s="4">
        <f t="shared" si="23"/>
        <v>3.8000000000000034</v>
      </c>
      <c r="AJ125" s="4">
        <f t="shared" si="23"/>
        <v>3.7000000000000033</v>
      </c>
      <c r="AK125" s="4">
        <f t="shared" si="23"/>
        <v>3.6000000000000032</v>
      </c>
    </row>
    <row r="126" spans="3:37" outlineLevel="1" x14ac:dyDescent="0.25">
      <c r="C126" s="38">
        <v>9.6999999999999993</v>
      </c>
      <c r="D126" s="4">
        <f t="shared" si="23"/>
        <v>9.5</v>
      </c>
      <c r="E126" s="4">
        <f t="shared" si="23"/>
        <v>9.3000000000000007</v>
      </c>
      <c r="F126" s="4">
        <f t="shared" si="23"/>
        <v>9.1000000000000014</v>
      </c>
      <c r="G126" s="4">
        <f t="shared" si="23"/>
        <v>8.9000000000000021</v>
      </c>
      <c r="H126" s="4">
        <f t="shared" si="23"/>
        <v>8.7000000000000028</v>
      </c>
      <c r="I126" s="4">
        <f t="shared" si="23"/>
        <v>8.5000000000000036</v>
      </c>
      <c r="J126" s="4">
        <f t="shared" si="23"/>
        <v>8.3000000000000043</v>
      </c>
      <c r="K126" s="4">
        <f t="shared" si="23"/>
        <v>8.100000000000005</v>
      </c>
      <c r="L126" s="4">
        <f t="shared" si="23"/>
        <v>7.9000000000000048</v>
      </c>
      <c r="M126" s="4">
        <f t="shared" si="23"/>
        <v>7.7000000000000046</v>
      </c>
      <c r="N126" s="4">
        <f t="shared" si="23"/>
        <v>7.5000000000000044</v>
      </c>
      <c r="O126" s="4">
        <f t="shared" si="23"/>
        <v>7.3000000000000043</v>
      </c>
      <c r="P126" s="4">
        <f t="shared" si="23"/>
        <v>7.1000000000000041</v>
      </c>
      <c r="Q126" s="4">
        <f t="shared" si="23"/>
        <v>6.9000000000000039</v>
      </c>
      <c r="R126" s="4">
        <f t="shared" si="23"/>
        <v>6.7000000000000037</v>
      </c>
      <c r="S126" s="4">
        <f t="shared" si="23"/>
        <v>6.5000000000000036</v>
      </c>
      <c r="T126" s="4">
        <f t="shared" si="23"/>
        <v>6.3000000000000034</v>
      </c>
      <c r="U126" s="4">
        <f t="shared" si="23"/>
        <v>6.1000000000000032</v>
      </c>
      <c r="V126" s="4">
        <f t="shared" si="23"/>
        <v>5.900000000000003</v>
      </c>
      <c r="W126" s="4">
        <f t="shared" si="23"/>
        <v>5.7000000000000028</v>
      </c>
      <c r="X126" s="4">
        <f t="shared" si="23"/>
        <v>5.5000000000000027</v>
      </c>
      <c r="Y126" s="4">
        <f t="shared" si="23"/>
        <v>5.3000000000000025</v>
      </c>
      <c r="Z126" s="4">
        <f t="shared" si="23"/>
        <v>5.1000000000000023</v>
      </c>
      <c r="AA126" s="4">
        <f t="shared" si="23"/>
        <v>4.9000000000000021</v>
      </c>
      <c r="AB126" s="4">
        <f t="shared" si="23"/>
        <v>4.700000000000002</v>
      </c>
      <c r="AC126" s="4">
        <f t="shared" si="23"/>
        <v>4.5000000000000018</v>
      </c>
      <c r="AD126" s="4">
        <f t="shared" si="23"/>
        <v>4.3000000000000016</v>
      </c>
      <c r="AE126" s="4">
        <f t="shared" si="23"/>
        <v>4.200000000000002</v>
      </c>
      <c r="AF126" s="4">
        <f t="shared" si="23"/>
        <v>4.1000000000000023</v>
      </c>
      <c r="AG126" s="4">
        <f t="shared" si="23"/>
        <v>4.0000000000000027</v>
      </c>
      <c r="AH126" s="4">
        <f t="shared" si="23"/>
        <v>3.9000000000000026</v>
      </c>
      <c r="AI126" s="4">
        <f t="shared" si="23"/>
        <v>3.8000000000000025</v>
      </c>
      <c r="AJ126" s="4">
        <f t="shared" si="23"/>
        <v>3.7000000000000024</v>
      </c>
      <c r="AK126" s="4">
        <f t="shared" si="23"/>
        <v>3.6000000000000023</v>
      </c>
    </row>
    <row r="127" spans="3:37" outlineLevel="1" x14ac:dyDescent="0.25">
      <c r="C127" s="38">
        <v>9.8000000000000007</v>
      </c>
      <c r="D127" s="4">
        <f t="shared" si="23"/>
        <v>9.6000000000000014</v>
      </c>
      <c r="E127" s="4">
        <f t="shared" si="23"/>
        <v>9.4000000000000021</v>
      </c>
      <c r="F127" s="4">
        <f t="shared" si="23"/>
        <v>9.2000000000000028</v>
      </c>
      <c r="G127" s="4">
        <f t="shared" si="23"/>
        <v>9.0000000000000036</v>
      </c>
      <c r="H127" s="4">
        <f t="shared" si="23"/>
        <v>8.8000000000000043</v>
      </c>
      <c r="I127" s="4">
        <f t="shared" si="23"/>
        <v>8.600000000000005</v>
      </c>
      <c r="J127" s="4">
        <f t="shared" si="23"/>
        <v>8.4000000000000057</v>
      </c>
      <c r="K127" s="4">
        <f t="shared" si="23"/>
        <v>8.2000000000000064</v>
      </c>
      <c r="L127" s="4">
        <f t="shared" si="23"/>
        <v>8.0000000000000071</v>
      </c>
      <c r="M127" s="4">
        <f t="shared" si="23"/>
        <v>7.8000000000000069</v>
      </c>
      <c r="N127" s="4">
        <f t="shared" si="23"/>
        <v>7.6000000000000068</v>
      </c>
      <c r="O127" s="4">
        <f t="shared" si="23"/>
        <v>7.4000000000000066</v>
      </c>
      <c r="P127" s="4">
        <f t="shared" si="23"/>
        <v>7.2000000000000064</v>
      </c>
      <c r="Q127" s="4">
        <f t="shared" si="23"/>
        <v>7.0000000000000062</v>
      </c>
      <c r="R127" s="4">
        <f t="shared" si="23"/>
        <v>6.800000000000006</v>
      </c>
      <c r="S127" s="4">
        <f t="shared" si="23"/>
        <v>6.6000000000000059</v>
      </c>
      <c r="T127" s="4">
        <f t="shared" si="23"/>
        <v>6.4000000000000057</v>
      </c>
      <c r="U127" s="4">
        <f t="shared" si="23"/>
        <v>6.2000000000000055</v>
      </c>
      <c r="V127" s="4">
        <f t="shared" si="23"/>
        <v>6.0000000000000053</v>
      </c>
      <c r="W127" s="4">
        <f t="shared" si="23"/>
        <v>5.8000000000000052</v>
      </c>
      <c r="X127" s="4">
        <f t="shared" si="23"/>
        <v>5.600000000000005</v>
      </c>
      <c r="Y127" s="4">
        <f t="shared" si="23"/>
        <v>5.4000000000000048</v>
      </c>
      <c r="Z127" s="4">
        <f t="shared" si="23"/>
        <v>5.2000000000000046</v>
      </c>
      <c r="AA127" s="4">
        <f t="shared" si="23"/>
        <v>5.0000000000000044</v>
      </c>
      <c r="AB127" s="4">
        <f t="shared" si="23"/>
        <v>4.8000000000000043</v>
      </c>
      <c r="AC127" s="4">
        <f t="shared" si="23"/>
        <v>4.6000000000000041</v>
      </c>
      <c r="AD127" s="4">
        <f t="shared" si="23"/>
        <v>4.4000000000000039</v>
      </c>
      <c r="AE127" s="4">
        <f t="shared" si="23"/>
        <v>4.3000000000000043</v>
      </c>
      <c r="AF127" s="4">
        <f t="shared" si="23"/>
        <v>4.2000000000000046</v>
      </c>
      <c r="AG127" s="4">
        <f t="shared" si="23"/>
        <v>4.100000000000005</v>
      </c>
      <c r="AH127" s="4">
        <f t="shared" si="23"/>
        <v>4.0000000000000053</v>
      </c>
      <c r="AI127" s="4">
        <f t="shared" si="23"/>
        <v>3.9000000000000052</v>
      </c>
      <c r="AJ127" s="4">
        <f t="shared" si="23"/>
        <v>3.8000000000000052</v>
      </c>
      <c r="AK127" s="4">
        <f t="shared" si="23"/>
        <v>3.7000000000000051</v>
      </c>
    </row>
    <row r="128" spans="3:37" outlineLevel="1" x14ac:dyDescent="0.25">
      <c r="C128" s="38">
        <v>9.9</v>
      </c>
      <c r="D128" s="4">
        <f t="shared" si="23"/>
        <v>9.7000000000000011</v>
      </c>
      <c r="E128" s="4">
        <f t="shared" si="23"/>
        <v>9.5000000000000018</v>
      </c>
      <c r="F128" s="4">
        <f t="shared" si="23"/>
        <v>9.3000000000000025</v>
      </c>
      <c r="G128" s="4">
        <f t="shared" si="23"/>
        <v>9.1000000000000032</v>
      </c>
      <c r="H128" s="4">
        <f t="shared" si="23"/>
        <v>8.9000000000000039</v>
      </c>
      <c r="I128" s="4">
        <f t="shared" si="23"/>
        <v>8.7000000000000046</v>
      </c>
      <c r="J128" s="4">
        <f t="shared" si="23"/>
        <v>8.5000000000000053</v>
      </c>
      <c r="K128" s="4">
        <f t="shared" si="23"/>
        <v>8.300000000000006</v>
      </c>
      <c r="L128" s="4">
        <f t="shared" si="23"/>
        <v>8.1000000000000068</v>
      </c>
      <c r="M128" s="4">
        <f t="shared" si="23"/>
        <v>7.9000000000000066</v>
      </c>
      <c r="N128" s="4">
        <f t="shared" si="23"/>
        <v>7.7000000000000064</v>
      </c>
      <c r="O128" s="4">
        <f t="shared" si="23"/>
        <v>7.5000000000000062</v>
      </c>
      <c r="P128" s="4">
        <f t="shared" si="23"/>
        <v>7.300000000000006</v>
      </c>
      <c r="Q128" s="4">
        <f t="shared" si="23"/>
        <v>7.1000000000000059</v>
      </c>
      <c r="R128" s="4">
        <f t="shared" si="23"/>
        <v>6.9000000000000057</v>
      </c>
      <c r="S128" s="4">
        <f t="shared" si="23"/>
        <v>6.7000000000000055</v>
      </c>
      <c r="T128" s="4">
        <f t="shared" si="23"/>
        <v>6.5000000000000053</v>
      </c>
      <c r="U128" s="4">
        <f t="shared" ref="U128:AK128" si="24">(IF(T128&lt;=4.4,T128-$E$6,IF(AND(T128&gt;=4.5,T128&lt;=11.4),T128-$E$7,IF(AND(T128&gt;=11.5,T128&lt;=18.4),T128-$E$8,IF(AND(T128&gt;=18.5,T128&lt;=26.4),T128-$E$9,IF(AND(T128&gt;=26.4,T128&lt;=36),T128-$E$10,IF(T128&gt;=37,T128-$E$11)))))))</f>
        <v>6.3000000000000052</v>
      </c>
      <c r="V128" s="4">
        <f t="shared" si="24"/>
        <v>6.100000000000005</v>
      </c>
      <c r="W128" s="4">
        <f t="shared" si="24"/>
        <v>5.9000000000000048</v>
      </c>
      <c r="X128" s="4">
        <f t="shared" si="24"/>
        <v>5.7000000000000046</v>
      </c>
      <c r="Y128" s="4">
        <f t="shared" si="24"/>
        <v>5.5000000000000044</v>
      </c>
      <c r="Z128" s="4">
        <f t="shared" si="24"/>
        <v>5.3000000000000043</v>
      </c>
      <c r="AA128" s="4">
        <f t="shared" si="24"/>
        <v>5.1000000000000041</v>
      </c>
      <c r="AB128" s="4">
        <f t="shared" si="24"/>
        <v>4.9000000000000039</v>
      </c>
      <c r="AC128" s="4">
        <f t="shared" si="24"/>
        <v>4.7000000000000037</v>
      </c>
      <c r="AD128" s="4">
        <f t="shared" si="24"/>
        <v>4.5000000000000036</v>
      </c>
      <c r="AE128" s="4">
        <f t="shared" si="24"/>
        <v>4.3000000000000034</v>
      </c>
      <c r="AF128" s="4">
        <f t="shared" si="24"/>
        <v>4.2000000000000037</v>
      </c>
      <c r="AG128" s="4">
        <f t="shared" si="24"/>
        <v>4.1000000000000041</v>
      </c>
      <c r="AH128" s="4">
        <f t="shared" si="24"/>
        <v>4.0000000000000044</v>
      </c>
      <c r="AI128" s="4">
        <f t="shared" si="24"/>
        <v>3.9000000000000044</v>
      </c>
      <c r="AJ128" s="4">
        <f t="shared" si="24"/>
        <v>3.8000000000000043</v>
      </c>
      <c r="AK128" s="4">
        <f t="shared" si="24"/>
        <v>3.7000000000000042</v>
      </c>
    </row>
    <row r="129" spans="3:37" outlineLevel="1" x14ac:dyDescent="0.25">
      <c r="C129" s="38">
        <v>10</v>
      </c>
      <c r="D129" s="4">
        <f t="shared" ref="D129:AK136" si="25">(IF(C129&lt;=4.4,C129-$E$6,IF(AND(C129&gt;=4.5,C129&lt;=11.4),C129-$E$7,IF(AND(C129&gt;=11.5,C129&lt;=18.4),C129-$E$8,IF(AND(C129&gt;=18.5,C129&lt;=26.4),C129-$E$9,IF(AND(C129&gt;=26.4,C129&lt;=36),C129-$E$10,IF(C129&gt;=37,C129-$E$11)))))))</f>
        <v>9.8000000000000007</v>
      </c>
      <c r="E129" s="4">
        <f t="shared" si="25"/>
        <v>9.6000000000000014</v>
      </c>
      <c r="F129" s="4">
        <f t="shared" si="25"/>
        <v>9.4000000000000021</v>
      </c>
      <c r="G129" s="4">
        <f t="shared" si="25"/>
        <v>9.2000000000000028</v>
      </c>
      <c r="H129" s="4">
        <f t="shared" si="25"/>
        <v>9.0000000000000036</v>
      </c>
      <c r="I129" s="4">
        <f t="shared" si="25"/>
        <v>8.8000000000000043</v>
      </c>
      <c r="J129" s="4">
        <f t="shared" si="25"/>
        <v>8.600000000000005</v>
      </c>
      <c r="K129" s="4">
        <f t="shared" si="25"/>
        <v>8.4000000000000057</v>
      </c>
      <c r="L129" s="4">
        <f t="shared" si="25"/>
        <v>8.2000000000000064</v>
      </c>
      <c r="M129" s="4">
        <f t="shared" si="25"/>
        <v>8.0000000000000071</v>
      </c>
      <c r="N129" s="4">
        <f t="shared" si="25"/>
        <v>7.8000000000000069</v>
      </c>
      <c r="O129" s="4">
        <f t="shared" si="25"/>
        <v>7.6000000000000068</v>
      </c>
      <c r="P129" s="4">
        <f t="shared" si="25"/>
        <v>7.4000000000000066</v>
      </c>
      <c r="Q129" s="4">
        <f t="shared" si="25"/>
        <v>7.2000000000000064</v>
      </c>
      <c r="R129" s="4">
        <f t="shared" si="25"/>
        <v>7.0000000000000062</v>
      </c>
      <c r="S129" s="4">
        <f t="shared" si="25"/>
        <v>6.800000000000006</v>
      </c>
      <c r="T129" s="4">
        <f t="shared" si="25"/>
        <v>6.6000000000000059</v>
      </c>
      <c r="U129" s="4">
        <f t="shared" si="25"/>
        <v>6.4000000000000057</v>
      </c>
      <c r="V129" s="4">
        <f t="shared" si="25"/>
        <v>6.2000000000000055</v>
      </c>
      <c r="W129" s="4">
        <f t="shared" si="25"/>
        <v>6.0000000000000053</v>
      </c>
      <c r="X129" s="4">
        <f t="shared" si="25"/>
        <v>5.8000000000000052</v>
      </c>
      <c r="Y129" s="4">
        <f t="shared" si="25"/>
        <v>5.600000000000005</v>
      </c>
      <c r="Z129" s="4">
        <f t="shared" si="25"/>
        <v>5.4000000000000048</v>
      </c>
      <c r="AA129" s="4">
        <f t="shared" si="25"/>
        <v>5.2000000000000046</v>
      </c>
      <c r="AB129" s="4">
        <f t="shared" si="25"/>
        <v>5.0000000000000044</v>
      </c>
      <c r="AC129" s="4">
        <f t="shared" si="25"/>
        <v>4.8000000000000043</v>
      </c>
      <c r="AD129" s="4">
        <f t="shared" si="25"/>
        <v>4.6000000000000041</v>
      </c>
      <c r="AE129" s="4">
        <f t="shared" si="25"/>
        <v>4.4000000000000039</v>
      </c>
      <c r="AF129" s="4">
        <f t="shared" si="25"/>
        <v>4.3000000000000043</v>
      </c>
      <c r="AG129" s="4">
        <f t="shared" si="25"/>
        <v>4.2000000000000046</v>
      </c>
      <c r="AH129" s="4">
        <f t="shared" si="25"/>
        <v>4.100000000000005</v>
      </c>
      <c r="AI129" s="4">
        <f t="shared" si="25"/>
        <v>4.0000000000000053</v>
      </c>
      <c r="AJ129" s="4">
        <f t="shared" si="25"/>
        <v>3.9000000000000052</v>
      </c>
      <c r="AK129" s="4">
        <f t="shared" si="25"/>
        <v>3.8000000000000052</v>
      </c>
    </row>
    <row r="130" spans="3:37" outlineLevel="1" x14ac:dyDescent="0.25">
      <c r="C130" s="38">
        <v>10.1</v>
      </c>
      <c r="D130" s="4">
        <f t="shared" si="25"/>
        <v>9.9</v>
      </c>
      <c r="E130" s="4">
        <f t="shared" si="25"/>
        <v>9.7000000000000011</v>
      </c>
      <c r="F130" s="4">
        <f t="shared" si="25"/>
        <v>9.5000000000000018</v>
      </c>
      <c r="G130" s="4">
        <f t="shared" si="25"/>
        <v>9.3000000000000025</v>
      </c>
      <c r="H130" s="4">
        <f t="shared" si="25"/>
        <v>9.1000000000000032</v>
      </c>
      <c r="I130" s="4">
        <f t="shared" si="25"/>
        <v>8.9000000000000039</v>
      </c>
      <c r="J130" s="4">
        <f t="shared" si="25"/>
        <v>8.7000000000000046</v>
      </c>
      <c r="K130" s="4">
        <f t="shared" si="25"/>
        <v>8.5000000000000053</v>
      </c>
      <c r="L130" s="4">
        <f t="shared" si="25"/>
        <v>8.300000000000006</v>
      </c>
      <c r="M130" s="4">
        <f t="shared" si="25"/>
        <v>8.1000000000000068</v>
      </c>
      <c r="N130" s="4">
        <f t="shared" si="25"/>
        <v>7.9000000000000066</v>
      </c>
      <c r="O130" s="4">
        <f t="shared" si="25"/>
        <v>7.7000000000000064</v>
      </c>
      <c r="P130" s="4">
        <f t="shared" si="25"/>
        <v>7.5000000000000062</v>
      </c>
      <c r="Q130" s="4">
        <f t="shared" si="25"/>
        <v>7.300000000000006</v>
      </c>
      <c r="R130" s="4">
        <f t="shared" si="25"/>
        <v>7.1000000000000059</v>
      </c>
      <c r="S130" s="4">
        <f t="shared" si="25"/>
        <v>6.9000000000000057</v>
      </c>
      <c r="T130" s="4">
        <f t="shared" si="25"/>
        <v>6.7000000000000055</v>
      </c>
      <c r="U130" s="4">
        <f t="shared" si="25"/>
        <v>6.5000000000000053</v>
      </c>
      <c r="V130" s="4">
        <f t="shared" si="25"/>
        <v>6.3000000000000052</v>
      </c>
      <c r="W130" s="4">
        <f t="shared" si="25"/>
        <v>6.100000000000005</v>
      </c>
      <c r="X130" s="4">
        <f t="shared" si="25"/>
        <v>5.9000000000000048</v>
      </c>
      <c r="Y130" s="4">
        <f t="shared" si="25"/>
        <v>5.7000000000000046</v>
      </c>
      <c r="Z130" s="4">
        <f t="shared" si="25"/>
        <v>5.5000000000000044</v>
      </c>
      <c r="AA130" s="4">
        <f t="shared" si="25"/>
        <v>5.3000000000000043</v>
      </c>
      <c r="AB130" s="4">
        <f t="shared" si="25"/>
        <v>5.1000000000000041</v>
      </c>
      <c r="AC130" s="4">
        <f t="shared" si="25"/>
        <v>4.9000000000000039</v>
      </c>
      <c r="AD130" s="4">
        <f t="shared" si="25"/>
        <v>4.7000000000000037</v>
      </c>
      <c r="AE130" s="4">
        <f t="shared" si="25"/>
        <v>4.5000000000000036</v>
      </c>
      <c r="AF130" s="4">
        <f t="shared" si="25"/>
        <v>4.3000000000000034</v>
      </c>
      <c r="AG130" s="4">
        <f t="shared" si="25"/>
        <v>4.2000000000000037</v>
      </c>
      <c r="AH130" s="4">
        <f t="shared" si="25"/>
        <v>4.1000000000000041</v>
      </c>
      <c r="AI130" s="4">
        <f t="shared" si="25"/>
        <v>4.0000000000000044</v>
      </c>
      <c r="AJ130" s="4">
        <f t="shared" si="25"/>
        <v>3.9000000000000044</v>
      </c>
      <c r="AK130" s="4">
        <f t="shared" si="25"/>
        <v>3.8000000000000043</v>
      </c>
    </row>
    <row r="131" spans="3:37" outlineLevel="1" x14ac:dyDescent="0.25">
      <c r="C131" s="38">
        <v>10.199999999999999</v>
      </c>
      <c r="D131" s="4">
        <f t="shared" si="25"/>
        <v>10</v>
      </c>
      <c r="E131" s="4">
        <f t="shared" si="25"/>
        <v>9.8000000000000007</v>
      </c>
      <c r="F131" s="4">
        <f t="shared" si="25"/>
        <v>9.6000000000000014</v>
      </c>
      <c r="G131" s="4">
        <f t="shared" si="25"/>
        <v>9.4000000000000021</v>
      </c>
      <c r="H131" s="4">
        <f t="shared" si="25"/>
        <v>9.2000000000000028</v>
      </c>
      <c r="I131" s="4">
        <f t="shared" si="25"/>
        <v>9.0000000000000036</v>
      </c>
      <c r="J131" s="4">
        <f t="shared" si="25"/>
        <v>8.8000000000000043</v>
      </c>
      <c r="K131" s="4">
        <f t="shared" si="25"/>
        <v>8.600000000000005</v>
      </c>
      <c r="L131" s="4">
        <f t="shared" si="25"/>
        <v>8.4000000000000057</v>
      </c>
      <c r="M131" s="4">
        <f t="shared" si="25"/>
        <v>8.2000000000000064</v>
      </c>
      <c r="N131" s="4">
        <f t="shared" si="25"/>
        <v>8.0000000000000071</v>
      </c>
      <c r="O131" s="4">
        <f t="shared" si="25"/>
        <v>7.8000000000000069</v>
      </c>
      <c r="P131" s="4">
        <f t="shared" si="25"/>
        <v>7.6000000000000068</v>
      </c>
      <c r="Q131" s="4">
        <f t="shared" si="25"/>
        <v>7.4000000000000066</v>
      </c>
      <c r="R131" s="4">
        <f t="shared" si="25"/>
        <v>7.2000000000000064</v>
      </c>
      <c r="S131" s="4">
        <f t="shared" si="25"/>
        <v>7.0000000000000062</v>
      </c>
      <c r="T131" s="4">
        <f t="shared" si="25"/>
        <v>6.800000000000006</v>
      </c>
      <c r="U131" s="4">
        <f t="shared" si="25"/>
        <v>6.6000000000000059</v>
      </c>
      <c r="V131" s="4">
        <f t="shared" si="25"/>
        <v>6.4000000000000057</v>
      </c>
      <c r="W131" s="4">
        <f t="shared" si="25"/>
        <v>6.2000000000000055</v>
      </c>
      <c r="X131" s="4">
        <f t="shared" si="25"/>
        <v>6.0000000000000053</v>
      </c>
      <c r="Y131" s="4">
        <f t="shared" si="25"/>
        <v>5.8000000000000052</v>
      </c>
      <c r="Z131" s="4">
        <f t="shared" si="25"/>
        <v>5.600000000000005</v>
      </c>
      <c r="AA131" s="4">
        <f t="shared" si="25"/>
        <v>5.4000000000000048</v>
      </c>
      <c r="AB131" s="4">
        <f t="shared" si="25"/>
        <v>5.2000000000000046</v>
      </c>
      <c r="AC131" s="4">
        <f t="shared" si="25"/>
        <v>5.0000000000000044</v>
      </c>
      <c r="AD131" s="4">
        <f t="shared" si="25"/>
        <v>4.8000000000000043</v>
      </c>
      <c r="AE131" s="4">
        <f t="shared" si="25"/>
        <v>4.6000000000000041</v>
      </c>
      <c r="AF131" s="4">
        <f t="shared" si="25"/>
        <v>4.4000000000000039</v>
      </c>
      <c r="AG131" s="4">
        <f t="shared" si="25"/>
        <v>4.3000000000000043</v>
      </c>
      <c r="AH131" s="4">
        <f t="shared" si="25"/>
        <v>4.2000000000000046</v>
      </c>
      <c r="AI131" s="4">
        <f t="shared" si="25"/>
        <v>4.100000000000005</v>
      </c>
      <c r="AJ131" s="4">
        <f t="shared" si="25"/>
        <v>4.0000000000000053</v>
      </c>
      <c r="AK131" s="4">
        <f t="shared" si="25"/>
        <v>3.9000000000000052</v>
      </c>
    </row>
    <row r="132" spans="3:37" outlineLevel="1" x14ac:dyDescent="0.25">
      <c r="C132" s="38">
        <v>10.3</v>
      </c>
      <c r="D132" s="4">
        <f t="shared" si="25"/>
        <v>10.100000000000001</v>
      </c>
      <c r="E132" s="4">
        <f t="shared" si="25"/>
        <v>9.9000000000000021</v>
      </c>
      <c r="F132" s="4">
        <f t="shared" si="25"/>
        <v>9.7000000000000028</v>
      </c>
      <c r="G132" s="4">
        <f t="shared" si="25"/>
        <v>9.5000000000000036</v>
      </c>
      <c r="H132" s="4">
        <f t="shared" si="25"/>
        <v>9.3000000000000043</v>
      </c>
      <c r="I132" s="4">
        <f t="shared" si="25"/>
        <v>9.100000000000005</v>
      </c>
      <c r="J132" s="4">
        <f t="shared" si="25"/>
        <v>8.9000000000000057</v>
      </c>
      <c r="K132" s="4">
        <f t="shared" si="25"/>
        <v>8.7000000000000064</v>
      </c>
      <c r="L132" s="4">
        <f t="shared" si="25"/>
        <v>8.5000000000000071</v>
      </c>
      <c r="M132" s="4">
        <f t="shared" si="25"/>
        <v>8.3000000000000078</v>
      </c>
      <c r="N132" s="4">
        <f t="shared" si="25"/>
        <v>8.1000000000000085</v>
      </c>
      <c r="O132" s="4">
        <f t="shared" si="25"/>
        <v>7.9000000000000083</v>
      </c>
      <c r="P132" s="4">
        <f t="shared" si="25"/>
        <v>7.7000000000000082</v>
      </c>
      <c r="Q132" s="4">
        <f t="shared" si="25"/>
        <v>7.500000000000008</v>
      </c>
      <c r="R132" s="4">
        <f t="shared" si="25"/>
        <v>7.3000000000000078</v>
      </c>
      <c r="S132" s="4">
        <f t="shared" si="25"/>
        <v>7.1000000000000076</v>
      </c>
      <c r="T132" s="4">
        <f t="shared" si="25"/>
        <v>6.9000000000000075</v>
      </c>
      <c r="U132" s="4">
        <f t="shared" si="25"/>
        <v>6.7000000000000073</v>
      </c>
      <c r="V132" s="4">
        <f t="shared" si="25"/>
        <v>6.5000000000000071</v>
      </c>
      <c r="W132" s="4">
        <f t="shared" si="25"/>
        <v>6.3000000000000069</v>
      </c>
      <c r="X132" s="4">
        <f t="shared" si="25"/>
        <v>6.1000000000000068</v>
      </c>
      <c r="Y132" s="4">
        <f t="shared" si="25"/>
        <v>5.9000000000000066</v>
      </c>
      <c r="Z132" s="4">
        <f t="shared" si="25"/>
        <v>5.7000000000000064</v>
      </c>
      <c r="AA132" s="4">
        <f t="shared" si="25"/>
        <v>5.5000000000000062</v>
      </c>
      <c r="AB132" s="4">
        <f t="shared" si="25"/>
        <v>5.300000000000006</v>
      </c>
      <c r="AC132" s="4">
        <f t="shared" si="25"/>
        <v>5.1000000000000059</v>
      </c>
      <c r="AD132" s="4">
        <f t="shared" si="25"/>
        <v>4.9000000000000057</v>
      </c>
      <c r="AE132" s="4">
        <f t="shared" si="25"/>
        <v>4.7000000000000055</v>
      </c>
      <c r="AF132" s="4">
        <f t="shared" si="25"/>
        <v>4.5000000000000053</v>
      </c>
      <c r="AG132" s="4">
        <f t="shared" si="25"/>
        <v>4.3000000000000052</v>
      </c>
      <c r="AH132" s="4">
        <f t="shared" si="25"/>
        <v>4.2000000000000055</v>
      </c>
      <c r="AI132" s="4">
        <f t="shared" si="25"/>
        <v>4.1000000000000059</v>
      </c>
      <c r="AJ132" s="4">
        <f t="shared" si="25"/>
        <v>4.0000000000000062</v>
      </c>
      <c r="AK132" s="4">
        <f t="shared" si="25"/>
        <v>3.9000000000000061</v>
      </c>
    </row>
    <row r="133" spans="3:37" outlineLevel="1" x14ac:dyDescent="0.25">
      <c r="C133" s="38">
        <v>10.4</v>
      </c>
      <c r="D133" s="4">
        <f t="shared" si="25"/>
        <v>10.200000000000001</v>
      </c>
      <c r="E133" s="4">
        <f t="shared" si="25"/>
        <v>10.000000000000002</v>
      </c>
      <c r="F133" s="4">
        <f t="shared" si="25"/>
        <v>9.8000000000000025</v>
      </c>
      <c r="G133" s="4">
        <f t="shared" si="25"/>
        <v>9.6000000000000032</v>
      </c>
      <c r="H133" s="4">
        <f t="shared" si="25"/>
        <v>9.4000000000000039</v>
      </c>
      <c r="I133" s="4">
        <f t="shared" si="25"/>
        <v>9.2000000000000046</v>
      </c>
      <c r="J133" s="4">
        <f t="shared" si="25"/>
        <v>9.0000000000000053</v>
      </c>
      <c r="K133" s="4">
        <f t="shared" si="25"/>
        <v>8.800000000000006</v>
      </c>
      <c r="L133" s="4">
        <f t="shared" si="25"/>
        <v>8.6000000000000068</v>
      </c>
      <c r="M133" s="4">
        <f t="shared" si="25"/>
        <v>8.4000000000000075</v>
      </c>
      <c r="N133" s="4">
        <f t="shared" si="25"/>
        <v>8.2000000000000082</v>
      </c>
      <c r="O133" s="4">
        <f t="shared" si="25"/>
        <v>8.0000000000000089</v>
      </c>
      <c r="P133" s="4">
        <f t="shared" si="25"/>
        <v>7.8000000000000087</v>
      </c>
      <c r="Q133" s="4">
        <f t="shared" si="25"/>
        <v>7.6000000000000085</v>
      </c>
      <c r="R133" s="4">
        <f t="shared" si="25"/>
        <v>7.4000000000000083</v>
      </c>
      <c r="S133" s="4">
        <f t="shared" si="25"/>
        <v>7.2000000000000082</v>
      </c>
      <c r="T133" s="4">
        <f t="shared" si="25"/>
        <v>7.000000000000008</v>
      </c>
      <c r="U133" s="4">
        <f t="shared" si="25"/>
        <v>6.8000000000000078</v>
      </c>
      <c r="V133" s="4">
        <f t="shared" si="25"/>
        <v>6.6000000000000076</v>
      </c>
      <c r="W133" s="4">
        <f t="shared" si="25"/>
        <v>6.4000000000000075</v>
      </c>
      <c r="X133" s="4">
        <f t="shared" si="25"/>
        <v>6.2000000000000073</v>
      </c>
      <c r="Y133" s="4">
        <f t="shared" si="25"/>
        <v>6.0000000000000071</v>
      </c>
      <c r="Z133" s="4">
        <f t="shared" si="25"/>
        <v>5.8000000000000069</v>
      </c>
      <c r="AA133" s="4">
        <f t="shared" si="25"/>
        <v>5.6000000000000068</v>
      </c>
      <c r="AB133" s="4">
        <f t="shared" si="25"/>
        <v>5.4000000000000066</v>
      </c>
      <c r="AC133" s="4">
        <f t="shared" si="25"/>
        <v>5.2000000000000064</v>
      </c>
      <c r="AD133" s="4">
        <f t="shared" si="25"/>
        <v>5.0000000000000062</v>
      </c>
      <c r="AE133" s="4">
        <f t="shared" si="25"/>
        <v>4.800000000000006</v>
      </c>
      <c r="AF133" s="4">
        <f t="shared" si="25"/>
        <v>4.6000000000000059</v>
      </c>
      <c r="AG133" s="4">
        <f t="shared" si="25"/>
        <v>4.4000000000000057</v>
      </c>
      <c r="AH133" s="4" t="b">
        <f t="shared" si="25"/>
        <v>0</v>
      </c>
      <c r="AI133" s="4">
        <f t="shared" si="25"/>
        <v>-1</v>
      </c>
      <c r="AJ133" s="4">
        <f t="shared" si="25"/>
        <v>-1.1000000000000001</v>
      </c>
      <c r="AK133" s="4">
        <f t="shared" si="25"/>
        <v>-1.2000000000000002</v>
      </c>
    </row>
    <row r="134" spans="3:37" outlineLevel="1" x14ac:dyDescent="0.25">
      <c r="C134" s="38">
        <v>10.5</v>
      </c>
      <c r="D134" s="4">
        <f t="shared" si="25"/>
        <v>10.3</v>
      </c>
      <c r="E134" s="4">
        <f t="shared" si="25"/>
        <v>10.100000000000001</v>
      </c>
      <c r="F134" s="4">
        <f t="shared" si="25"/>
        <v>9.9000000000000021</v>
      </c>
      <c r="G134" s="4">
        <f t="shared" si="25"/>
        <v>9.7000000000000028</v>
      </c>
      <c r="H134" s="4">
        <f t="shared" si="25"/>
        <v>9.5000000000000036</v>
      </c>
      <c r="I134" s="4">
        <f t="shared" si="25"/>
        <v>9.3000000000000043</v>
      </c>
      <c r="J134" s="4">
        <f t="shared" si="25"/>
        <v>9.100000000000005</v>
      </c>
      <c r="K134" s="4">
        <f t="shared" si="25"/>
        <v>8.9000000000000057</v>
      </c>
      <c r="L134" s="4">
        <f t="shared" si="25"/>
        <v>8.7000000000000064</v>
      </c>
      <c r="M134" s="4">
        <f t="shared" si="25"/>
        <v>8.5000000000000071</v>
      </c>
      <c r="N134" s="4">
        <f t="shared" si="25"/>
        <v>8.3000000000000078</v>
      </c>
      <c r="O134" s="4">
        <f t="shared" si="25"/>
        <v>8.1000000000000085</v>
      </c>
      <c r="P134" s="4">
        <f t="shared" si="25"/>
        <v>7.9000000000000083</v>
      </c>
      <c r="Q134" s="4">
        <f t="shared" si="25"/>
        <v>7.7000000000000082</v>
      </c>
      <c r="R134" s="4">
        <f t="shared" si="25"/>
        <v>7.500000000000008</v>
      </c>
      <c r="S134" s="4">
        <f t="shared" si="25"/>
        <v>7.3000000000000078</v>
      </c>
      <c r="T134" s="4">
        <f t="shared" si="25"/>
        <v>7.1000000000000076</v>
      </c>
      <c r="U134" s="4">
        <f t="shared" si="25"/>
        <v>6.9000000000000075</v>
      </c>
      <c r="V134" s="4">
        <f t="shared" si="25"/>
        <v>6.7000000000000073</v>
      </c>
      <c r="W134" s="4">
        <f t="shared" si="25"/>
        <v>6.5000000000000071</v>
      </c>
      <c r="X134" s="4">
        <f t="shared" si="25"/>
        <v>6.3000000000000069</v>
      </c>
      <c r="Y134" s="4">
        <f t="shared" si="25"/>
        <v>6.1000000000000068</v>
      </c>
      <c r="Z134" s="4">
        <f t="shared" si="25"/>
        <v>5.9000000000000066</v>
      </c>
      <c r="AA134" s="4">
        <f t="shared" si="25"/>
        <v>5.7000000000000064</v>
      </c>
      <c r="AB134" s="4">
        <f t="shared" si="25"/>
        <v>5.5000000000000062</v>
      </c>
      <c r="AC134" s="4">
        <f t="shared" si="25"/>
        <v>5.300000000000006</v>
      </c>
      <c r="AD134" s="4">
        <f t="shared" si="25"/>
        <v>5.1000000000000059</v>
      </c>
      <c r="AE134" s="4">
        <f t="shared" si="25"/>
        <v>4.9000000000000057</v>
      </c>
      <c r="AF134" s="4">
        <f t="shared" si="25"/>
        <v>4.7000000000000055</v>
      </c>
      <c r="AG134" s="4">
        <f t="shared" si="25"/>
        <v>4.5000000000000053</v>
      </c>
      <c r="AH134" s="4">
        <f t="shared" si="25"/>
        <v>4.3000000000000052</v>
      </c>
      <c r="AI134" s="4">
        <f t="shared" si="25"/>
        <v>4.2000000000000055</v>
      </c>
      <c r="AJ134" s="4">
        <f t="shared" si="25"/>
        <v>4.1000000000000059</v>
      </c>
      <c r="AK134" s="4">
        <f t="shared" si="25"/>
        <v>4.0000000000000062</v>
      </c>
    </row>
    <row r="135" spans="3:37" outlineLevel="1" x14ac:dyDescent="0.25">
      <c r="C135" s="38">
        <v>10.6</v>
      </c>
      <c r="D135" s="4">
        <f t="shared" si="25"/>
        <v>10.4</v>
      </c>
      <c r="E135" s="4">
        <f t="shared" si="25"/>
        <v>10.200000000000001</v>
      </c>
      <c r="F135" s="4">
        <f t="shared" si="25"/>
        <v>10.000000000000002</v>
      </c>
      <c r="G135" s="4">
        <f t="shared" si="25"/>
        <v>9.8000000000000025</v>
      </c>
      <c r="H135" s="4">
        <f t="shared" si="25"/>
        <v>9.6000000000000032</v>
      </c>
      <c r="I135" s="4">
        <f t="shared" si="25"/>
        <v>9.4000000000000039</v>
      </c>
      <c r="J135" s="4">
        <f t="shared" si="25"/>
        <v>9.2000000000000046</v>
      </c>
      <c r="K135" s="4">
        <f t="shared" si="25"/>
        <v>9.0000000000000053</v>
      </c>
      <c r="L135" s="4">
        <f t="shared" si="25"/>
        <v>8.800000000000006</v>
      </c>
      <c r="M135" s="4">
        <f t="shared" si="25"/>
        <v>8.6000000000000068</v>
      </c>
      <c r="N135" s="4">
        <f t="shared" si="25"/>
        <v>8.4000000000000075</v>
      </c>
      <c r="O135" s="4">
        <f t="shared" si="25"/>
        <v>8.2000000000000082</v>
      </c>
      <c r="P135" s="4">
        <f t="shared" si="25"/>
        <v>8.0000000000000089</v>
      </c>
      <c r="Q135" s="4">
        <f t="shared" si="25"/>
        <v>7.8000000000000087</v>
      </c>
      <c r="R135" s="4">
        <f t="shared" si="25"/>
        <v>7.6000000000000085</v>
      </c>
      <c r="S135" s="4">
        <f t="shared" si="25"/>
        <v>7.4000000000000083</v>
      </c>
      <c r="T135" s="4">
        <f t="shared" si="25"/>
        <v>7.2000000000000082</v>
      </c>
      <c r="U135" s="4">
        <f t="shared" si="25"/>
        <v>7.000000000000008</v>
      </c>
      <c r="V135" s="4">
        <f t="shared" si="25"/>
        <v>6.8000000000000078</v>
      </c>
      <c r="W135" s="4">
        <f t="shared" si="25"/>
        <v>6.6000000000000076</v>
      </c>
      <c r="X135" s="4">
        <f t="shared" si="25"/>
        <v>6.4000000000000075</v>
      </c>
      <c r="Y135" s="4">
        <f t="shared" si="25"/>
        <v>6.2000000000000073</v>
      </c>
      <c r="Z135" s="4">
        <f t="shared" si="25"/>
        <v>6.0000000000000071</v>
      </c>
      <c r="AA135" s="4">
        <f t="shared" si="25"/>
        <v>5.8000000000000069</v>
      </c>
      <c r="AB135" s="4">
        <f t="shared" si="25"/>
        <v>5.6000000000000068</v>
      </c>
      <c r="AC135" s="4">
        <f t="shared" si="25"/>
        <v>5.4000000000000066</v>
      </c>
      <c r="AD135" s="4">
        <f t="shared" si="25"/>
        <v>5.2000000000000064</v>
      </c>
      <c r="AE135" s="4">
        <f t="shared" si="25"/>
        <v>5.0000000000000062</v>
      </c>
      <c r="AF135" s="4">
        <f t="shared" si="25"/>
        <v>4.800000000000006</v>
      </c>
      <c r="AG135" s="4">
        <f t="shared" si="25"/>
        <v>4.6000000000000059</v>
      </c>
      <c r="AH135" s="4">
        <f t="shared" si="25"/>
        <v>4.4000000000000057</v>
      </c>
      <c r="AI135" s="4" t="b">
        <f t="shared" si="25"/>
        <v>0</v>
      </c>
      <c r="AJ135" s="4">
        <f t="shared" si="25"/>
        <v>-1</v>
      </c>
      <c r="AK135" s="4">
        <f t="shared" si="25"/>
        <v>-1.1000000000000001</v>
      </c>
    </row>
    <row r="136" spans="3:37" outlineLevel="1" x14ac:dyDescent="0.25">
      <c r="C136" s="38">
        <v>10.7</v>
      </c>
      <c r="D136" s="4">
        <f t="shared" si="25"/>
        <v>10.5</v>
      </c>
      <c r="E136" s="4">
        <f t="shared" si="25"/>
        <v>10.3</v>
      </c>
      <c r="F136" s="4">
        <f t="shared" si="25"/>
        <v>10.100000000000001</v>
      </c>
      <c r="G136" s="4">
        <f t="shared" si="25"/>
        <v>9.9000000000000021</v>
      </c>
      <c r="H136" s="4">
        <f t="shared" si="25"/>
        <v>9.7000000000000028</v>
      </c>
      <c r="I136" s="4">
        <f t="shared" si="25"/>
        <v>9.5000000000000036</v>
      </c>
      <c r="J136" s="4">
        <f t="shared" si="25"/>
        <v>9.3000000000000043</v>
      </c>
      <c r="K136" s="4">
        <f t="shared" si="25"/>
        <v>9.100000000000005</v>
      </c>
      <c r="L136" s="4">
        <f t="shared" si="25"/>
        <v>8.9000000000000057</v>
      </c>
      <c r="M136" s="4">
        <f t="shared" si="25"/>
        <v>8.7000000000000064</v>
      </c>
      <c r="N136" s="4">
        <f t="shared" si="25"/>
        <v>8.5000000000000071</v>
      </c>
      <c r="O136" s="4">
        <f t="shared" si="25"/>
        <v>8.3000000000000078</v>
      </c>
      <c r="P136" s="4">
        <f t="shared" si="25"/>
        <v>8.1000000000000085</v>
      </c>
      <c r="Q136" s="4">
        <f t="shared" si="25"/>
        <v>7.9000000000000083</v>
      </c>
      <c r="R136" s="4">
        <f t="shared" si="25"/>
        <v>7.7000000000000082</v>
      </c>
      <c r="S136" s="4">
        <f t="shared" si="25"/>
        <v>7.500000000000008</v>
      </c>
      <c r="T136" s="4">
        <f t="shared" si="25"/>
        <v>7.3000000000000078</v>
      </c>
      <c r="U136" s="4">
        <f t="shared" ref="U136:AK136" si="26">(IF(T136&lt;=4.4,T136-$E$6,IF(AND(T136&gt;=4.5,T136&lt;=11.4),T136-$E$7,IF(AND(T136&gt;=11.5,T136&lt;=18.4),T136-$E$8,IF(AND(T136&gt;=18.5,T136&lt;=26.4),T136-$E$9,IF(AND(T136&gt;=26.4,T136&lt;=36),T136-$E$10,IF(T136&gt;=37,T136-$E$11)))))))</f>
        <v>7.1000000000000076</v>
      </c>
      <c r="V136" s="4">
        <f t="shared" si="26"/>
        <v>6.9000000000000075</v>
      </c>
      <c r="W136" s="4">
        <f t="shared" si="26"/>
        <v>6.7000000000000073</v>
      </c>
      <c r="X136" s="4">
        <f t="shared" si="26"/>
        <v>6.5000000000000071</v>
      </c>
      <c r="Y136" s="4">
        <f t="shared" si="26"/>
        <v>6.3000000000000069</v>
      </c>
      <c r="Z136" s="4">
        <f t="shared" si="26"/>
        <v>6.1000000000000068</v>
      </c>
      <c r="AA136" s="4">
        <f t="shared" si="26"/>
        <v>5.9000000000000066</v>
      </c>
      <c r="AB136" s="4">
        <f t="shared" si="26"/>
        <v>5.7000000000000064</v>
      </c>
      <c r="AC136" s="4">
        <f t="shared" si="26"/>
        <v>5.5000000000000062</v>
      </c>
      <c r="AD136" s="4">
        <f t="shared" si="26"/>
        <v>5.300000000000006</v>
      </c>
      <c r="AE136" s="4">
        <f t="shared" si="26"/>
        <v>5.1000000000000059</v>
      </c>
      <c r="AF136" s="4">
        <f t="shared" si="26"/>
        <v>4.9000000000000057</v>
      </c>
      <c r="AG136" s="4">
        <f t="shared" si="26"/>
        <v>4.7000000000000055</v>
      </c>
      <c r="AH136" s="4">
        <f t="shared" si="26"/>
        <v>4.5000000000000053</v>
      </c>
      <c r="AI136" s="4">
        <f t="shared" si="26"/>
        <v>4.3000000000000052</v>
      </c>
      <c r="AJ136" s="4">
        <f t="shared" si="26"/>
        <v>4.2000000000000055</v>
      </c>
      <c r="AK136" s="4">
        <f t="shared" si="26"/>
        <v>4.1000000000000059</v>
      </c>
    </row>
    <row r="137" spans="3:37" outlineLevel="1" x14ac:dyDescent="0.25">
      <c r="C137" s="38">
        <v>10.8</v>
      </c>
      <c r="D137" s="4">
        <f t="shared" ref="D137:AK144" si="27">(IF(C137&lt;=4.4,C137-$E$6,IF(AND(C137&gt;=4.5,C137&lt;=11.4),C137-$E$7,IF(AND(C137&gt;=11.5,C137&lt;=18.4),C137-$E$8,IF(AND(C137&gt;=18.5,C137&lt;=26.4),C137-$E$9,IF(AND(C137&gt;=26.4,C137&lt;=36),C137-$E$10,IF(C137&gt;=37,C137-$E$11)))))))</f>
        <v>10.600000000000001</v>
      </c>
      <c r="E137" s="4">
        <f t="shared" si="27"/>
        <v>10.400000000000002</v>
      </c>
      <c r="F137" s="4">
        <f t="shared" si="27"/>
        <v>10.200000000000003</v>
      </c>
      <c r="G137" s="4">
        <f t="shared" si="27"/>
        <v>10.000000000000004</v>
      </c>
      <c r="H137" s="4">
        <f t="shared" si="27"/>
        <v>9.8000000000000043</v>
      </c>
      <c r="I137" s="4">
        <f t="shared" si="27"/>
        <v>9.600000000000005</v>
      </c>
      <c r="J137" s="4">
        <f t="shared" si="27"/>
        <v>9.4000000000000057</v>
      </c>
      <c r="K137" s="4">
        <f t="shared" si="27"/>
        <v>9.2000000000000064</v>
      </c>
      <c r="L137" s="4">
        <f t="shared" si="27"/>
        <v>9.0000000000000071</v>
      </c>
      <c r="M137" s="4">
        <f t="shared" si="27"/>
        <v>8.8000000000000078</v>
      </c>
      <c r="N137" s="4">
        <f t="shared" si="27"/>
        <v>8.6000000000000085</v>
      </c>
      <c r="O137" s="4">
        <f t="shared" si="27"/>
        <v>8.4000000000000092</v>
      </c>
      <c r="P137" s="4">
        <f t="shared" si="27"/>
        <v>8.2000000000000099</v>
      </c>
      <c r="Q137" s="4">
        <f t="shared" si="27"/>
        <v>8.0000000000000107</v>
      </c>
      <c r="R137" s="4">
        <f t="shared" si="27"/>
        <v>7.8000000000000105</v>
      </c>
      <c r="S137" s="4">
        <f t="shared" si="27"/>
        <v>7.6000000000000103</v>
      </c>
      <c r="T137" s="4">
        <f t="shared" si="27"/>
        <v>7.4000000000000101</v>
      </c>
      <c r="U137" s="4">
        <f t="shared" si="27"/>
        <v>7.2000000000000099</v>
      </c>
      <c r="V137" s="4">
        <f t="shared" si="27"/>
        <v>7.0000000000000098</v>
      </c>
      <c r="W137" s="4">
        <f t="shared" si="27"/>
        <v>6.8000000000000096</v>
      </c>
      <c r="X137" s="4">
        <f t="shared" si="27"/>
        <v>6.6000000000000094</v>
      </c>
      <c r="Y137" s="4">
        <f t="shared" si="27"/>
        <v>6.4000000000000092</v>
      </c>
      <c r="Z137" s="4">
        <f t="shared" si="27"/>
        <v>6.2000000000000091</v>
      </c>
      <c r="AA137" s="4">
        <f t="shared" si="27"/>
        <v>6.0000000000000089</v>
      </c>
      <c r="AB137" s="4">
        <f t="shared" si="27"/>
        <v>5.8000000000000087</v>
      </c>
      <c r="AC137" s="4">
        <f t="shared" si="27"/>
        <v>5.6000000000000085</v>
      </c>
      <c r="AD137" s="4">
        <f t="shared" si="27"/>
        <v>5.4000000000000083</v>
      </c>
      <c r="AE137" s="4">
        <f t="shared" si="27"/>
        <v>5.2000000000000082</v>
      </c>
      <c r="AF137" s="4">
        <f t="shared" si="27"/>
        <v>5.000000000000008</v>
      </c>
      <c r="AG137" s="4">
        <f t="shared" si="27"/>
        <v>4.8000000000000078</v>
      </c>
      <c r="AH137" s="4">
        <f t="shared" si="27"/>
        <v>4.6000000000000076</v>
      </c>
      <c r="AI137" s="4">
        <f t="shared" si="27"/>
        <v>4.4000000000000075</v>
      </c>
      <c r="AJ137" s="4" t="b">
        <f t="shared" si="27"/>
        <v>0</v>
      </c>
      <c r="AK137" s="4">
        <f t="shared" si="27"/>
        <v>-1</v>
      </c>
    </row>
    <row r="138" spans="3:37" outlineLevel="1" x14ac:dyDescent="0.25">
      <c r="C138" s="38">
        <v>10.9</v>
      </c>
      <c r="D138" s="4">
        <f t="shared" si="27"/>
        <v>10.700000000000001</v>
      </c>
      <c r="E138" s="4">
        <f t="shared" si="27"/>
        <v>10.500000000000002</v>
      </c>
      <c r="F138" s="4">
        <f t="shared" si="27"/>
        <v>10.300000000000002</v>
      </c>
      <c r="G138" s="4">
        <f t="shared" si="27"/>
        <v>10.100000000000003</v>
      </c>
      <c r="H138" s="4">
        <f t="shared" si="27"/>
        <v>9.9000000000000039</v>
      </c>
      <c r="I138" s="4">
        <f t="shared" si="27"/>
        <v>9.7000000000000046</v>
      </c>
      <c r="J138" s="4">
        <f t="shared" si="27"/>
        <v>9.5000000000000053</v>
      </c>
      <c r="K138" s="4">
        <f t="shared" si="27"/>
        <v>9.300000000000006</v>
      </c>
      <c r="L138" s="4">
        <f t="shared" si="27"/>
        <v>9.1000000000000068</v>
      </c>
      <c r="M138" s="4">
        <f t="shared" si="27"/>
        <v>8.9000000000000075</v>
      </c>
      <c r="N138" s="4">
        <f t="shared" si="27"/>
        <v>8.7000000000000082</v>
      </c>
      <c r="O138" s="4">
        <f t="shared" si="27"/>
        <v>8.5000000000000089</v>
      </c>
      <c r="P138" s="4">
        <f t="shared" si="27"/>
        <v>8.3000000000000096</v>
      </c>
      <c r="Q138" s="4">
        <f t="shared" si="27"/>
        <v>8.1000000000000103</v>
      </c>
      <c r="R138" s="4">
        <f t="shared" si="27"/>
        <v>7.9000000000000101</v>
      </c>
      <c r="S138" s="4">
        <f t="shared" si="27"/>
        <v>7.7000000000000099</v>
      </c>
      <c r="T138" s="4">
        <f t="shared" si="27"/>
        <v>7.5000000000000098</v>
      </c>
      <c r="U138" s="4">
        <f t="shared" si="27"/>
        <v>7.3000000000000096</v>
      </c>
      <c r="V138" s="4">
        <f t="shared" si="27"/>
        <v>7.1000000000000094</v>
      </c>
      <c r="W138" s="4">
        <f t="shared" si="27"/>
        <v>6.9000000000000092</v>
      </c>
      <c r="X138" s="4">
        <f t="shared" si="27"/>
        <v>6.7000000000000091</v>
      </c>
      <c r="Y138" s="4">
        <f t="shared" si="27"/>
        <v>6.5000000000000089</v>
      </c>
      <c r="Z138" s="4">
        <f t="shared" si="27"/>
        <v>6.3000000000000087</v>
      </c>
      <c r="AA138" s="4">
        <f t="shared" si="27"/>
        <v>6.1000000000000085</v>
      </c>
      <c r="AB138" s="4">
        <f t="shared" si="27"/>
        <v>5.9000000000000083</v>
      </c>
      <c r="AC138" s="4">
        <f t="shared" si="27"/>
        <v>5.7000000000000082</v>
      </c>
      <c r="AD138" s="4">
        <f t="shared" si="27"/>
        <v>5.500000000000008</v>
      </c>
      <c r="AE138" s="4">
        <f t="shared" si="27"/>
        <v>5.3000000000000078</v>
      </c>
      <c r="AF138" s="4">
        <f t="shared" si="27"/>
        <v>5.1000000000000076</v>
      </c>
      <c r="AG138" s="4">
        <f t="shared" si="27"/>
        <v>4.9000000000000075</v>
      </c>
      <c r="AH138" s="4">
        <f t="shared" si="27"/>
        <v>4.7000000000000073</v>
      </c>
      <c r="AI138" s="4">
        <f t="shared" si="27"/>
        <v>4.5000000000000071</v>
      </c>
      <c r="AJ138" s="4">
        <f t="shared" si="27"/>
        <v>4.3000000000000069</v>
      </c>
      <c r="AK138" s="4">
        <f t="shared" si="27"/>
        <v>4.2000000000000073</v>
      </c>
    </row>
    <row r="139" spans="3:37" outlineLevel="1" x14ac:dyDescent="0.25">
      <c r="C139" s="38">
        <v>11</v>
      </c>
      <c r="D139" s="4">
        <f t="shared" si="27"/>
        <v>10.8</v>
      </c>
      <c r="E139" s="4">
        <f t="shared" si="27"/>
        <v>10.600000000000001</v>
      </c>
      <c r="F139" s="4">
        <f t="shared" si="27"/>
        <v>10.400000000000002</v>
      </c>
      <c r="G139" s="4">
        <f t="shared" si="27"/>
        <v>10.200000000000003</v>
      </c>
      <c r="H139" s="4">
        <f t="shared" si="27"/>
        <v>10.000000000000004</v>
      </c>
      <c r="I139" s="4">
        <f t="shared" si="27"/>
        <v>9.8000000000000043</v>
      </c>
      <c r="J139" s="4">
        <f t="shared" si="27"/>
        <v>9.600000000000005</v>
      </c>
      <c r="K139" s="4">
        <f t="shared" si="27"/>
        <v>9.4000000000000057</v>
      </c>
      <c r="L139" s="4">
        <f t="shared" si="27"/>
        <v>9.2000000000000064</v>
      </c>
      <c r="M139" s="4">
        <f t="shared" si="27"/>
        <v>9.0000000000000071</v>
      </c>
      <c r="N139" s="4">
        <f t="shared" si="27"/>
        <v>8.8000000000000078</v>
      </c>
      <c r="O139" s="4">
        <f t="shared" si="27"/>
        <v>8.6000000000000085</v>
      </c>
      <c r="P139" s="4">
        <f t="shared" si="27"/>
        <v>8.4000000000000092</v>
      </c>
      <c r="Q139" s="4">
        <f t="shared" si="27"/>
        <v>8.2000000000000099</v>
      </c>
      <c r="R139" s="4">
        <f t="shared" si="27"/>
        <v>8.0000000000000107</v>
      </c>
      <c r="S139" s="4">
        <f t="shared" si="27"/>
        <v>7.8000000000000105</v>
      </c>
      <c r="T139" s="4">
        <f t="shared" si="27"/>
        <v>7.6000000000000103</v>
      </c>
      <c r="U139" s="4">
        <f t="shared" si="27"/>
        <v>7.4000000000000101</v>
      </c>
      <c r="V139" s="4">
        <f t="shared" si="27"/>
        <v>7.2000000000000099</v>
      </c>
      <c r="W139" s="4">
        <f t="shared" si="27"/>
        <v>7.0000000000000098</v>
      </c>
      <c r="X139" s="4">
        <f t="shared" si="27"/>
        <v>6.8000000000000096</v>
      </c>
      <c r="Y139" s="4">
        <f t="shared" si="27"/>
        <v>6.6000000000000094</v>
      </c>
      <c r="Z139" s="4">
        <f t="shared" si="27"/>
        <v>6.4000000000000092</v>
      </c>
      <c r="AA139" s="4">
        <f t="shared" si="27"/>
        <v>6.2000000000000091</v>
      </c>
      <c r="AB139" s="4">
        <f t="shared" si="27"/>
        <v>6.0000000000000089</v>
      </c>
      <c r="AC139" s="4">
        <f t="shared" si="27"/>
        <v>5.8000000000000087</v>
      </c>
      <c r="AD139" s="4">
        <f t="shared" si="27"/>
        <v>5.6000000000000085</v>
      </c>
      <c r="AE139" s="4">
        <f t="shared" si="27"/>
        <v>5.4000000000000083</v>
      </c>
      <c r="AF139" s="4">
        <f t="shared" si="27"/>
        <v>5.2000000000000082</v>
      </c>
      <c r="AG139" s="4">
        <f t="shared" si="27"/>
        <v>5.000000000000008</v>
      </c>
      <c r="AH139" s="4">
        <f t="shared" si="27"/>
        <v>4.8000000000000078</v>
      </c>
      <c r="AI139" s="4">
        <f t="shared" si="27"/>
        <v>4.6000000000000076</v>
      </c>
      <c r="AJ139" s="4">
        <f t="shared" si="27"/>
        <v>4.4000000000000075</v>
      </c>
      <c r="AK139" s="4" t="b">
        <f t="shared" si="27"/>
        <v>0</v>
      </c>
    </row>
    <row r="140" spans="3:37" outlineLevel="1" x14ac:dyDescent="0.25">
      <c r="C140" s="38">
        <v>11.1</v>
      </c>
      <c r="D140" s="4">
        <f t="shared" si="27"/>
        <v>10.9</v>
      </c>
      <c r="E140" s="4">
        <f t="shared" si="27"/>
        <v>10.700000000000001</v>
      </c>
      <c r="F140" s="4">
        <f t="shared" si="27"/>
        <v>10.500000000000002</v>
      </c>
      <c r="G140" s="4">
        <f t="shared" si="27"/>
        <v>10.300000000000002</v>
      </c>
      <c r="H140" s="4">
        <f t="shared" si="27"/>
        <v>10.100000000000003</v>
      </c>
      <c r="I140" s="4">
        <f t="shared" si="27"/>
        <v>9.9000000000000039</v>
      </c>
      <c r="J140" s="4">
        <f t="shared" si="27"/>
        <v>9.7000000000000046</v>
      </c>
      <c r="K140" s="4">
        <f t="shared" si="27"/>
        <v>9.5000000000000053</v>
      </c>
      <c r="L140" s="4">
        <f t="shared" si="27"/>
        <v>9.300000000000006</v>
      </c>
      <c r="M140" s="4">
        <f t="shared" si="27"/>
        <v>9.1000000000000068</v>
      </c>
      <c r="N140" s="4">
        <f t="shared" si="27"/>
        <v>8.9000000000000075</v>
      </c>
      <c r="O140" s="4">
        <f t="shared" si="27"/>
        <v>8.7000000000000082</v>
      </c>
      <c r="P140" s="4">
        <f t="shared" si="27"/>
        <v>8.5000000000000089</v>
      </c>
      <c r="Q140" s="4">
        <f t="shared" si="27"/>
        <v>8.3000000000000096</v>
      </c>
      <c r="R140" s="4">
        <f t="shared" si="27"/>
        <v>8.1000000000000103</v>
      </c>
      <c r="S140" s="4">
        <f t="shared" si="27"/>
        <v>7.9000000000000101</v>
      </c>
      <c r="T140" s="4">
        <f t="shared" si="27"/>
        <v>7.7000000000000099</v>
      </c>
      <c r="U140" s="4">
        <f t="shared" si="27"/>
        <v>7.5000000000000098</v>
      </c>
      <c r="V140" s="4">
        <f t="shared" si="27"/>
        <v>7.3000000000000096</v>
      </c>
      <c r="W140" s="4">
        <f t="shared" si="27"/>
        <v>7.1000000000000094</v>
      </c>
      <c r="X140" s="4">
        <f t="shared" si="27"/>
        <v>6.9000000000000092</v>
      </c>
      <c r="Y140" s="4">
        <f t="shared" si="27"/>
        <v>6.7000000000000091</v>
      </c>
      <c r="Z140" s="4">
        <f t="shared" si="27"/>
        <v>6.5000000000000089</v>
      </c>
      <c r="AA140" s="4">
        <f t="shared" si="27"/>
        <v>6.3000000000000087</v>
      </c>
      <c r="AB140" s="4">
        <f t="shared" si="27"/>
        <v>6.1000000000000085</v>
      </c>
      <c r="AC140" s="4">
        <f t="shared" si="27"/>
        <v>5.9000000000000083</v>
      </c>
      <c r="AD140" s="4">
        <f t="shared" si="27"/>
        <v>5.7000000000000082</v>
      </c>
      <c r="AE140" s="4">
        <f t="shared" si="27"/>
        <v>5.500000000000008</v>
      </c>
      <c r="AF140" s="4">
        <f t="shared" si="27"/>
        <v>5.3000000000000078</v>
      </c>
      <c r="AG140" s="4">
        <f t="shared" si="27"/>
        <v>5.1000000000000076</v>
      </c>
      <c r="AH140" s="4">
        <f t="shared" si="27"/>
        <v>4.9000000000000075</v>
      </c>
      <c r="AI140" s="4">
        <f t="shared" si="27"/>
        <v>4.7000000000000073</v>
      </c>
      <c r="AJ140" s="4">
        <f t="shared" si="27"/>
        <v>4.5000000000000071</v>
      </c>
      <c r="AK140" s="4">
        <f t="shared" si="27"/>
        <v>4.3000000000000069</v>
      </c>
    </row>
    <row r="141" spans="3:37" outlineLevel="1" x14ac:dyDescent="0.25">
      <c r="C141" s="38">
        <v>11.2</v>
      </c>
      <c r="D141" s="4">
        <f t="shared" si="27"/>
        <v>11</v>
      </c>
      <c r="E141" s="4">
        <f t="shared" si="27"/>
        <v>10.8</v>
      </c>
      <c r="F141" s="4">
        <f t="shared" si="27"/>
        <v>10.600000000000001</v>
      </c>
      <c r="G141" s="4">
        <f t="shared" si="27"/>
        <v>10.400000000000002</v>
      </c>
      <c r="H141" s="4">
        <f t="shared" si="27"/>
        <v>10.200000000000003</v>
      </c>
      <c r="I141" s="4">
        <f t="shared" si="27"/>
        <v>10.000000000000004</v>
      </c>
      <c r="J141" s="4">
        <f t="shared" si="27"/>
        <v>9.8000000000000043</v>
      </c>
      <c r="K141" s="4">
        <f t="shared" si="27"/>
        <v>9.600000000000005</v>
      </c>
      <c r="L141" s="4">
        <f t="shared" si="27"/>
        <v>9.4000000000000057</v>
      </c>
      <c r="M141" s="4">
        <f t="shared" si="27"/>
        <v>9.2000000000000064</v>
      </c>
      <c r="N141" s="4">
        <f t="shared" si="27"/>
        <v>9.0000000000000071</v>
      </c>
      <c r="O141" s="4">
        <f t="shared" si="27"/>
        <v>8.8000000000000078</v>
      </c>
      <c r="P141" s="4">
        <f t="shared" si="27"/>
        <v>8.6000000000000085</v>
      </c>
      <c r="Q141" s="4">
        <f t="shared" si="27"/>
        <v>8.4000000000000092</v>
      </c>
      <c r="R141" s="4">
        <f t="shared" si="27"/>
        <v>8.2000000000000099</v>
      </c>
      <c r="S141" s="4">
        <f t="shared" si="27"/>
        <v>8.0000000000000107</v>
      </c>
      <c r="T141" s="4">
        <f t="shared" si="27"/>
        <v>7.8000000000000105</v>
      </c>
      <c r="U141" s="4">
        <f t="shared" si="27"/>
        <v>7.6000000000000103</v>
      </c>
      <c r="V141" s="4">
        <f t="shared" si="27"/>
        <v>7.4000000000000101</v>
      </c>
      <c r="W141" s="4">
        <f t="shared" si="27"/>
        <v>7.2000000000000099</v>
      </c>
      <c r="X141" s="4">
        <f t="shared" si="27"/>
        <v>7.0000000000000098</v>
      </c>
      <c r="Y141" s="4">
        <f t="shared" si="27"/>
        <v>6.8000000000000096</v>
      </c>
      <c r="Z141" s="4">
        <f t="shared" si="27"/>
        <v>6.6000000000000094</v>
      </c>
      <c r="AA141" s="4">
        <f t="shared" si="27"/>
        <v>6.4000000000000092</v>
      </c>
      <c r="AB141" s="4">
        <f t="shared" si="27"/>
        <v>6.2000000000000091</v>
      </c>
      <c r="AC141" s="4">
        <f t="shared" si="27"/>
        <v>6.0000000000000089</v>
      </c>
      <c r="AD141" s="4">
        <f t="shared" si="27"/>
        <v>5.8000000000000087</v>
      </c>
      <c r="AE141" s="4">
        <f t="shared" si="27"/>
        <v>5.6000000000000085</v>
      </c>
      <c r="AF141" s="4">
        <f t="shared" si="27"/>
        <v>5.4000000000000083</v>
      </c>
      <c r="AG141" s="4">
        <f t="shared" si="27"/>
        <v>5.2000000000000082</v>
      </c>
      <c r="AH141" s="4">
        <f t="shared" si="27"/>
        <v>5.000000000000008</v>
      </c>
      <c r="AI141" s="4">
        <f t="shared" si="27"/>
        <v>4.8000000000000078</v>
      </c>
      <c r="AJ141" s="4">
        <f t="shared" si="27"/>
        <v>4.6000000000000076</v>
      </c>
      <c r="AK141" s="4">
        <f t="shared" si="27"/>
        <v>4.4000000000000075</v>
      </c>
    </row>
    <row r="142" spans="3:37" outlineLevel="1" x14ac:dyDescent="0.25">
      <c r="C142" s="38">
        <v>11.3</v>
      </c>
      <c r="D142" s="4">
        <f t="shared" si="27"/>
        <v>11.100000000000001</v>
      </c>
      <c r="E142" s="4">
        <f t="shared" si="27"/>
        <v>10.900000000000002</v>
      </c>
      <c r="F142" s="4">
        <f t="shared" si="27"/>
        <v>10.700000000000003</v>
      </c>
      <c r="G142" s="4">
        <f t="shared" si="27"/>
        <v>10.500000000000004</v>
      </c>
      <c r="H142" s="4">
        <f t="shared" si="27"/>
        <v>10.300000000000004</v>
      </c>
      <c r="I142" s="4">
        <f t="shared" si="27"/>
        <v>10.100000000000005</v>
      </c>
      <c r="J142" s="4">
        <f t="shared" si="27"/>
        <v>9.9000000000000057</v>
      </c>
      <c r="K142" s="4">
        <f t="shared" si="27"/>
        <v>9.7000000000000064</v>
      </c>
      <c r="L142" s="4">
        <f t="shared" si="27"/>
        <v>9.5000000000000071</v>
      </c>
      <c r="M142" s="4">
        <f t="shared" si="27"/>
        <v>9.3000000000000078</v>
      </c>
      <c r="N142" s="4">
        <f t="shared" si="27"/>
        <v>9.1000000000000085</v>
      </c>
      <c r="O142" s="4">
        <f t="shared" si="27"/>
        <v>8.9000000000000092</v>
      </c>
      <c r="P142" s="4">
        <f t="shared" si="27"/>
        <v>8.7000000000000099</v>
      </c>
      <c r="Q142" s="4">
        <f t="shared" si="27"/>
        <v>8.5000000000000107</v>
      </c>
      <c r="R142" s="4">
        <f t="shared" si="27"/>
        <v>8.3000000000000114</v>
      </c>
      <c r="S142" s="4">
        <f t="shared" si="27"/>
        <v>8.1000000000000121</v>
      </c>
      <c r="T142" s="4">
        <f t="shared" si="27"/>
        <v>7.9000000000000119</v>
      </c>
      <c r="U142" s="4">
        <f t="shared" si="27"/>
        <v>7.7000000000000117</v>
      </c>
      <c r="V142" s="4">
        <f t="shared" si="27"/>
        <v>7.5000000000000115</v>
      </c>
      <c r="W142" s="4">
        <f t="shared" si="27"/>
        <v>7.3000000000000114</v>
      </c>
      <c r="X142" s="4">
        <f t="shared" si="27"/>
        <v>7.1000000000000112</v>
      </c>
      <c r="Y142" s="4">
        <f t="shared" si="27"/>
        <v>6.900000000000011</v>
      </c>
      <c r="Z142" s="4">
        <f t="shared" si="27"/>
        <v>6.7000000000000108</v>
      </c>
      <c r="AA142" s="4">
        <f t="shared" si="27"/>
        <v>6.5000000000000107</v>
      </c>
      <c r="AB142" s="4">
        <f t="shared" si="27"/>
        <v>6.3000000000000105</v>
      </c>
      <c r="AC142" s="4">
        <f t="shared" si="27"/>
        <v>6.1000000000000103</v>
      </c>
      <c r="AD142" s="4">
        <f t="shared" si="27"/>
        <v>5.9000000000000101</v>
      </c>
      <c r="AE142" s="4">
        <f t="shared" si="27"/>
        <v>5.7000000000000099</v>
      </c>
      <c r="AF142" s="4">
        <f t="shared" si="27"/>
        <v>5.5000000000000098</v>
      </c>
      <c r="AG142" s="4">
        <f t="shared" si="27"/>
        <v>5.3000000000000096</v>
      </c>
      <c r="AH142" s="4">
        <f t="shared" si="27"/>
        <v>5.1000000000000094</v>
      </c>
      <c r="AI142" s="4">
        <f t="shared" si="27"/>
        <v>4.9000000000000092</v>
      </c>
      <c r="AJ142" s="4">
        <f t="shared" si="27"/>
        <v>4.7000000000000091</v>
      </c>
      <c r="AK142" s="4">
        <f t="shared" si="27"/>
        <v>4.5000000000000089</v>
      </c>
    </row>
    <row r="143" spans="3:37" outlineLevel="1" x14ac:dyDescent="0.25">
      <c r="C143" s="38">
        <v>11.4</v>
      </c>
      <c r="D143" s="4">
        <f t="shared" si="27"/>
        <v>11.200000000000001</v>
      </c>
      <c r="E143" s="4">
        <f t="shared" si="27"/>
        <v>11.000000000000002</v>
      </c>
      <c r="F143" s="4">
        <f t="shared" si="27"/>
        <v>10.800000000000002</v>
      </c>
      <c r="G143" s="4">
        <f t="shared" si="27"/>
        <v>10.600000000000003</v>
      </c>
      <c r="H143" s="4">
        <f t="shared" si="27"/>
        <v>10.400000000000004</v>
      </c>
      <c r="I143" s="4">
        <f t="shared" si="27"/>
        <v>10.200000000000005</v>
      </c>
      <c r="J143" s="4">
        <f t="shared" si="27"/>
        <v>10.000000000000005</v>
      </c>
      <c r="K143" s="4">
        <f t="shared" si="27"/>
        <v>9.800000000000006</v>
      </c>
      <c r="L143" s="4">
        <f t="shared" si="27"/>
        <v>9.6000000000000068</v>
      </c>
      <c r="M143" s="4">
        <f t="shared" si="27"/>
        <v>9.4000000000000075</v>
      </c>
      <c r="N143" s="4">
        <f t="shared" si="27"/>
        <v>9.2000000000000082</v>
      </c>
      <c r="O143" s="4">
        <f t="shared" si="27"/>
        <v>9.0000000000000089</v>
      </c>
      <c r="P143" s="4">
        <f t="shared" si="27"/>
        <v>8.8000000000000096</v>
      </c>
      <c r="Q143" s="4">
        <f t="shared" si="27"/>
        <v>8.6000000000000103</v>
      </c>
      <c r="R143" s="4">
        <f t="shared" si="27"/>
        <v>8.400000000000011</v>
      </c>
      <c r="S143" s="4">
        <f t="shared" si="27"/>
        <v>8.2000000000000117</v>
      </c>
      <c r="T143" s="4">
        <f t="shared" si="27"/>
        <v>8.0000000000000124</v>
      </c>
      <c r="U143" s="4">
        <f t="shared" si="27"/>
        <v>7.8000000000000123</v>
      </c>
      <c r="V143" s="4">
        <f t="shared" si="27"/>
        <v>7.6000000000000121</v>
      </c>
      <c r="W143" s="4">
        <f t="shared" si="27"/>
        <v>7.4000000000000119</v>
      </c>
      <c r="X143" s="4">
        <f t="shared" si="27"/>
        <v>7.2000000000000117</v>
      </c>
      <c r="Y143" s="4">
        <f t="shared" si="27"/>
        <v>7.0000000000000115</v>
      </c>
      <c r="Z143" s="4">
        <f t="shared" si="27"/>
        <v>6.8000000000000114</v>
      </c>
      <c r="AA143" s="4">
        <f t="shared" si="27"/>
        <v>6.6000000000000112</v>
      </c>
      <c r="AB143" s="4">
        <f t="shared" si="27"/>
        <v>6.400000000000011</v>
      </c>
      <c r="AC143" s="4">
        <f t="shared" si="27"/>
        <v>6.2000000000000108</v>
      </c>
      <c r="AD143" s="4">
        <f t="shared" si="27"/>
        <v>6.0000000000000107</v>
      </c>
      <c r="AE143" s="4">
        <f t="shared" si="27"/>
        <v>5.8000000000000105</v>
      </c>
      <c r="AF143" s="4">
        <f t="shared" si="27"/>
        <v>5.6000000000000103</v>
      </c>
      <c r="AG143" s="4">
        <f t="shared" si="27"/>
        <v>5.4000000000000101</v>
      </c>
      <c r="AH143" s="4">
        <f t="shared" si="27"/>
        <v>5.2000000000000099</v>
      </c>
      <c r="AI143" s="4">
        <f t="shared" si="27"/>
        <v>5.0000000000000098</v>
      </c>
      <c r="AJ143" s="4">
        <f t="shared" si="27"/>
        <v>4.8000000000000096</v>
      </c>
      <c r="AK143" s="4">
        <f t="shared" si="27"/>
        <v>4.6000000000000094</v>
      </c>
    </row>
    <row r="144" spans="3:37" outlineLevel="1" x14ac:dyDescent="0.25">
      <c r="C144" s="38">
        <v>11.5</v>
      </c>
      <c r="D144" s="4">
        <f t="shared" si="27"/>
        <v>11.2</v>
      </c>
      <c r="E144" s="4">
        <f t="shared" si="27"/>
        <v>11</v>
      </c>
      <c r="F144" s="4">
        <f t="shared" si="27"/>
        <v>10.8</v>
      </c>
      <c r="G144" s="4">
        <f t="shared" si="27"/>
        <v>10.600000000000001</v>
      </c>
      <c r="H144" s="4">
        <f t="shared" si="27"/>
        <v>10.400000000000002</v>
      </c>
      <c r="I144" s="4">
        <f t="shared" si="27"/>
        <v>10.200000000000003</v>
      </c>
      <c r="J144" s="4">
        <f t="shared" si="27"/>
        <v>10.000000000000004</v>
      </c>
      <c r="K144" s="4">
        <f t="shared" si="27"/>
        <v>9.8000000000000043</v>
      </c>
      <c r="L144" s="4">
        <f t="shared" si="27"/>
        <v>9.600000000000005</v>
      </c>
      <c r="M144" s="4">
        <f t="shared" si="27"/>
        <v>9.4000000000000057</v>
      </c>
      <c r="N144" s="4">
        <f t="shared" si="27"/>
        <v>9.2000000000000064</v>
      </c>
      <c r="O144" s="4">
        <f t="shared" si="27"/>
        <v>9.0000000000000071</v>
      </c>
      <c r="P144" s="4">
        <f t="shared" si="27"/>
        <v>8.8000000000000078</v>
      </c>
      <c r="Q144" s="4">
        <f t="shared" si="27"/>
        <v>8.6000000000000085</v>
      </c>
      <c r="R144" s="4">
        <f t="shared" si="27"/>
        <v>8.4000000000000092</v>
      </c>
      <c r="S144" s="4">
        <f t="shared" si="27"/>
        <v>8.2000000000000099</v>
      </c>
      <c r="T144" s="4">
        <f t="shared" si="27"/>
        <v>8.0000000000000107</v>
      </c>
      <c r="U144" s="4">
        <f t="shared" ref="U144:AK144" si="28">(IF(T144&lt;=4.4,T144-$E$6,IF(AND(T144&gt;=4.5,T144&lt;=11.4),T144-$E$7,IF(AND(T144&gt;=11.5,T144&lt;=18.4),T144-$E$8,IF(AND(T144&gt;=18.5,T144&lt;=26.4),T144-$E$9,IF(AND(T144&gt;=26.4,T144&lt;=36),T144-$E$10,IF(T144&gt;=37,T144-$E$11)))))))</f>
        <v>7.8000000000000105</v>
      </c>
      <c r="V144" s="4">
        <f t="shared" si="28"/>
        <v>7.6000000000000103</v>
      </c>
      <c r="W144" s="4">
        <f t="shared" si="28"/>
        <v>7.4000000000000101</v>
      </c>
      <c r="X144" s="4">
        <f t="shared" si="28"/>
        <v>7.2000000000000099</v>
      </c>
      <c r="Y144" s="4">
        <f t="shared" si="28"/>
        <v>7.0000000000000098</v>
      </c>
      <c r="Z144" s="4">
        <f t="shared" si="28"/>
        <v>6.8000000000000096</v>
      </c>
      <c r="AA144" s="4">
        <f t="shared" si="28"/>
        <v>6.6000000000000094</v>
      </c>
      <c r="AB144" s="4">
        <f t="shared" si="28"/>
        <v>6.4000000000000092</v>
      </c>
      <c r="AC144" s="4">
        <f t="shared" si="28"/>
        <v>6.2000000000000091</v>
      </c>
      <c r="AD144" s="4">
        <f t="shared" si="28"/>
        <v>6.0000000000000089</v>
      </c>
      <c r="AE144" s="4">
        <f t="shared" si="28"/>
        <v>5.8000000000000087</v>
      </c>
      <c r="AF144" s="4">
        <f t="shared" si="28"/>
        <v>5.6000000000000085</v>
      </c>
      <c r="AG144" s="4">
        <f t="shared" si="28"/>
        <v>5.4000000000000083</v>
      </c>
      <c r="AH144" s="4">
        <f t="shared" si="28"/>
        <v>5.2000000000000082</v>
      </c>
      <c r="AI144" s="4">
        <f t="shared" si="28"/>
        <v>5.000000000000008</v>
      </c>
      <c r="AJ144" s="4">
        <f t="shared" si="28"/>
        <v>4.8000000000000078</v>
      </c>
      <c r="AK144" s="4">
        <f t="shared" si="28"/>
        <v>4.6000000000000076</v>
      </c>
    </row>
    <row r="145" spans="3:37" outlineLevel="1" x14ac:dyDescent="0.25">
      <c r="C145" s="38">
        <v>11.6</v>
      </c>
      <c r="D145" s="4">
        <f t="shared" ref="D145:AK152" si="29">(IF(C145&lt;=4.4,C145-$E$6,IF(AND(C145&gt;=4.5,C145&lt;=11.4),C145-$E$7,IF(AND(C145&gt;=11.5,C145&lt;=18.4),C145-$E$8,IF(AND(C145&gt;=18.5,C145&lt;=26.4),C145-$E$9,IF(AND(C145&gt;=26.4,C145&lt;=36),C145-$E$10,IF(C145&gt;=37,C145-$E$11)))))))</f>
        <v>11.299999999999999</v>
      </c>
      <c r="E145" s="4">
        <f t="shared" si="29"/>
        <v>11.1</v>
      </c>
      <c r="F145" s="4">
        <f t="shared" si="29"/>
        <v>10.9</v>
      </c>
      <c r="G145" s="4">
        <f t="shared" si="29"/>
        <v>10.700000000000001</v>
      </c>
      <c r="H145" s="4">
        <f t="shared" si="29"/>
        <v>10.500000000000002</v>
      </c>
      <c r="I145" s="4">
        <f t="shared" si="29"/>
        <v>10.300000000000002</v>
      </c>
      <c r="J145" s="4">
        <f t="shared" si="29"/>
        <v>10.100000000000003</v>
      </c>
      <c r="K145" s="4">
        <f t="shared" si="29"/>
        <v>9.9000000000000039</v>
      </c>
      <c r="L145" s="4">
        <f t="shared" si="29"/>
        <v>9.7000000000000046</v>
      </c>
      <c r="M145" s="4">
        <f t="shared" si="29"/>
        <v>9.5000000000000053</v>
      </c>
      <c r="N145" s="4">
        <f t="shared" si="29"/>
        <v>9.300000000000006</v>
      </c>
      <c r="O145" s="4">
        <f t="shared" si="29"/>
        <v>9.1000000000000068</v>
      </c>
      <c r="P145" s="4">
        <f t="shared" si="29"/>
        <v>8.9000000000000075</v>
      </c>
      <c r="Q145" s="4">
        <f t="shared" si="29"/>
        <v>8.7000000000000082</v>
      </c>
      <c r="R145" s="4">
        <f t="shared" si="29"/>
        <v>8.5000000000000089</v>
      </c>
      <c r="S145" s="4">
        <f t="shared" si="29"/>
        <v>8.3000000000000096</v>
      </c>
      <c r="T145" s="4">
        <f t="shared" si="29"/>
        <v>8.1000000000000103</v>
      </c>
      <c r="U145" s="4">
        <f t="shared" si="29"/>
        <v>7.9000000000000101</v>
      </c>
      <c r="V145" s="4">
        <f t="shared" si="29"/>
        <v>7.7000000000000099</v>
      </c>
      <c r="W145" s="4">
        <f t="shared" si="29"/>
        <v>7.5000000000000098</v>
      </c>
      <c r="X145" s="4">
        <f t="shared" si="29"/>
        <v>7.3000000000000096</v>
      </c>
      <c r="Y145" s="4">
        <f t="shared" si="29"/>
        <v>7.1000000000000094</v>
      </c>
      <c r="Z145" s="4">
        <f t="shared" si="29"/>
        <v>6.9000000000000092</v>
      </c>
      <c r="AA145" s="4">
        <f t="shared" si="29"/>
        <v>6.7000000000000091</v>
      </c>
      <c r="AB145" s="4">
        <f t="shared" si="29"/>
        <v>6.5000000000000089</v>
      </c>
      <c r="AC145" s="4">
        <f t="shared" si="29"/>
        <v>6.3000000000000087</v>
      </c>
      <c r="AD145" s="4">
        <f t="shared" si="29"/>
        <v>6.1000000000000085</v>
      </c>
      <c r="AE145" s="4">
        <f t="shared" si="29"/>
        <v>5.9000000000000083</v>
      </c>
      <c r="AF145" s="4">
        <f t="shared" si="29"/>
        <v>5.7000000000000082</v>
      </c>
      <c r="AG145" s="4">
        <f t="shared" si="29"/>
        <v>5.500000000000008</v>
      </c>
      <c r="AH145" s="4">
        <f t="shared" si="29"/>
        <v>5.3000000000000078</v>
      </c>
      <c r="AI145" s="4">
        <f t="shared" si="29"/>
        <v>5.1000000000000076</v>
      </c>
      <c r="AJ145" s="4">
        <f t="shared" si="29"/>
        <v>4.9000000000000075</v>
      </c>
      <c r="AK145" s="4">
        <f t="shared" si="29"/>
        <v>4.7000000000000073</v>
      </c>
    </row>
    <row r="146" spans="3:37" outlineLevel="1" x14ac:dyDescent="0.25">
      <c r="C146" s="38">
        <v>11.7</v>
      </c>
      <c r="D146" s="4">
        <f t="shared" si="29"/>
        <v>11.399999999999999</v>
      </c>
      <c r="E146" s="4">
        <f t="shared" si="29"/>
        <v>11.2</v>
      </c>
      <c r="F146" s="4">
        <f t="shared" si="29"/>
        <v>11</v>
      </c>
      <c r="G146" s="4">
        <f t="shared" si="29"/>
        <v>10.8</v>
      </c>
      <c r="H146" s="4">
        <f t="shared" si="29"/>
        <v>10.600000000000001</v>
      </c>
      <c r="I146" s="4">
        <f t="shared" si="29"/>
        <v>10.400000000000002</v>
      </c>
      <c r="J146" s="4">
        <f t="shared" si="29"/>
        <v>10.200000000000003</v>
      </c>
      <c r="K146" s="4">
        <f t="shared" si="29"/>
        <v>10.000000000000004</v>
      </c>
      <c r="L146" s="4">
        <f t="shared" si="29"/>
        <v>9.8000000000000043</v>
      </c>
      <c r="M146" s="4">
        <f t="shared" si="29"/>
        <v>9.600000000000005</v>
      </c>
      <c r="N146" s="4">
        <f t="shared" si="29"/>
        <v>9.4000000000000057</v>
      </c>
      <c r="O146" s="4">
        <f t="shared" si="29"/>
        <v>9.2000000000000064</v>
      </c>
      <c r="P146" s="4">
        <f t="shared" si="29"/>
        <v>9.0000000000000071</v>
      </c>
      <c r="Q146" s="4">
        <f t="shared" si="29"/>
        <v>8.8000000000000078</v>
      </c>
      <c r="R146" s="4">
        <f t="shared" si="29"/>
        <v>8.6000000000000085</v>
      </c>
      <c r="S146" s="4">
        <f t="shared" si="29"/>
        <v>8.4000000000000092</v>
      </c>
      <c r="T146" s="4">
        <f t="shared" si="29"/>
        <v>8.2000000000000099</v>
      </c>
      <c r="U146" s="4">
        <f t="shared" si="29"/>
        <v>8.0000000000000107</v>
      </c>
      <c r="V146" s="4">
        <f t="shared" si="29"/>
        <v>7.8000000000000105</v>
      </c>
      <c r="W146" s="4">
        <f t="shared" si="29"/>
        <v>7.6000000000000103</v>
      </c>
      <c r="X146" s="4">
        <f t="shared" si="29"/>
        <v>7.4000000000000101</v>
      </c>
      <c r="Y146" s="4">
        <f t="shared" si="29"/>
        <v>7.2000000000000099</v>
      </c>
      <c r="Z146" s="4">
        <f t="shared" si="29"/>
        <v>7.0000000000000098</v>
      </c>
      <c r="AA146" s="4">
        <f t="shared" si="29"/>
        <v>6.8000000000000096</v>
      </c>
      <c r="AB146" s="4">
        <f t="shared" si="29"/>
        <v>6.6000000000000094</v>
      </c>
      <c r="AC146" s="4">
        <f t="shared" si="29"/>
        <v>6.4000000000000092</v>
      </c>
      <c r="AD146" s="4">
        <f t="shared" si="29"/>
        <v>6.2000000000000091</v>
      </c>
      <c r="AE146" s="4">
        <f t="shared" si="29"/>
        <v>6.0000000000000089</v>
      </c>
      <c r="AF146" s="4">
        <f t="shared" si="29"/>
        <v>5.8000000000000087</v>
      </c>
      <c r="AG146" s="4">
        <f t="shared" si="29"/>
        <v>5.6000000000000085</v>
      </c>
      <c r="AH146" s="4">
        <f t="shared" si="29"/>
        <v>5.4000000000000083</v>
      </c>
      <c r="AI146" s="4">
        <f t="shared" si="29"/>
        <v>5.2000000000000082</v>
      </c>
      <c r="AJ146" s="4">
        <f t="shared" si="29"/>
        <v>5.000000000000008</v>
      </c>
      <c r="AK146" s="4">
        <f t="shared" si="29"/>
        <v>4.8000000000000078</v>
      </c>
    </row>
    <row r="147" spans="3:37" outlineLevel="1" x14ac:dyDescent="0.25">
      <c r="C147" s="38">
        <v>11.8</v>
      </c>
      <c r="D147" s="4">
        <f t="shared" si="29"/>
        <v>11.5</v>
      </c>
      <c r="E147" s="4">
        <f t="shared" si="29"/>
        <v>11.2</v>
      </c>
      <c r="F147" s="4">
        <f t="shared" si="29"/>
        <v>11</v>
      </c>
      <c r="G147" s="4">
        <f t="shared" si="29"/>
        <v>10.8</v>
      </c>
      <c r="H147" s="4">
        <f t="shared" si="29"/>
        <v>10.600000000000001</v>
      </c>
      <c r="I147" s="4">
        <f t="shared" si="29"/>
        <v>10.400000000000002</v>
      </c>
      <c r="J147" s="4">
        <f t="shared" si="29"/>
        <v>10.200000000000003</v>
      </c>
      <c r="K147" s="4">
        <f t="shared" si="29"/>
        <v>10.000000000000004</v>
      </c>
      <c r="L147" s="4">
        <f t="shared" si="29"/>
        <v>9.8000000000000043</v>
      </c>
      <c r="M147" s="4">
        <f t="shared" si="29"/>
        <v>9.600000000000005</v>
      </c>
      <c r="N147" s="4">
        <f t="shared" si="29"/>
        <v>9.4000000000000057</v>
      </c>
      <c r="O147" s="4">
        <f t="shared" si="29"/>
        <v>9.2000000000000064</v>
      </c>
      <c r="P147" s="4">
        <f t="shared" si="29"/>
        <v>9.0000000000000071</v>
      </c>
      <c r="Q147" s="4">
        <f t="shared" si="29"/>
        <v>8.8000000000000078</v>
      </c>
      <c r="R147" s="4">
        <f t="shared" si="29"/>
        <v>8.6000000000000085</v>
      </c>
      <c r="S147" s="4">
        <f t="shared" si="29"/>
        <v>8.4000000000000092</v>
      </c>
      <c r="T147" s="4">
        <f t="shared" si="29"/>
        <v>8.2000000000000099</v>
      </c>
      <c r="U147" s="4">
        <f t="shared" si="29"/>
        <v>8.0000000000000107</v>
      </c>
      <c r="V147" s="4">
        <f t="shared" si="29"/>
        <v>7.8000000000000105</v>
      </c>
      <c r="W147" s="4">
        <f t="shared" si="29"/>
        <v>7.6000000000000103</v>
      </c>
      <c r="X147" s="4">
        <f t="shared" si="29"/>
        <v>7.4000000000000101</v>
      </c>
      <c r="Y147" s="4">
        <f t="shared" si="29"/>
        <v>7.2000000000000099</v>
      </c>
      <c r="Z147" s="4">
        <f t="shared" si="29"/>
        <v>7.0000000000000098</v>
      </c>
      <c r="AA147" s="4">
        <f t="shared" si="29"/>
        <v>6.8000000000000096</v>
      </c>
      <c r="AB147" s="4">
        <f t="shared" si="29"/>
        <v>6.6000000000000094</v>
      </c>
      <c r="AC147" s="4">
        <f t="shared" si="29"/>
        <v>6.4000000000000092</v>
      </c>
      <c r="AD147" s="4">
        <f t="shared" si="29"/>
        <v>6.2000000000000091</v>
      </c>
      <c r="AE147" s="4">
        <f t="shared" si="29"/>
        <v>6.0000000000000089</v>
      </c>
      <c r="AF147" s="4">
        <f t="shared" si="29"/>
        <v>5.8000000000000087</v>
      </c>
      <c r="AG147" s="4">
        <f t="shared" si="29"/>
        <v>5.6000000000000085</v>
      </c>
      <c r="AH147" s="4">
        <f t="shared" si="29"/>
        <v>5.4000000000000083</v>
      </c>
      <c r="AI147" s="4">
        <f t="shared" si="29"/>
        <v>5.2000000000000082</v>
      </c>
      <c r="AJ147" s="4">
        <f t="shared" si="29"/>
        <v>5.000000000000008</v>
      </c>
      <c r="AK147" s="4">
        <f t="shared" si="29"/>
        <v>4.8000000000000078</v>
      </c>
    </row>
    <row r="148" spans="3:37" outlineLevel="1" x14ac:dyDescent="0.25">
      <c r="C148" s="38">
        <v>11.9</v>
      </c>
      <c r="D148" s="4">
        <f t="shared" si="29"/>
        <v>11.6</v>
      </c>
      <c r="E148" s="4">
        <f t="shared" si="29"/>
        <v>11.299999999999999</v>
      </c>
      <c r="F148" s="4">
        <f t="shared" si="29"/>
        <v>11.1</v>
      </c>
      <c r="G148" s="4">
        <f t="shared" si="29"/>
        <v>10.9</v>
      </c>
      <c r="H148" s="4">
        <f t="shared" si="29"/>
        <v>10.700000000000001</v>
      </c>
      <c r="I148" s="4">
        <f t="shared" si="29"/>
        <v>10.500000000000002</v>
      </c>
      <c r="J148" s="4">
        <f t="shared" si="29"/>
        <v>10.300000000000002</v>
      </c>
      <c r="K148" s="4">
        <f t="shared" si="29"/>
        <v>10.100000000000003</v>
      </c>
      <c r="L148" s="4">
        <f t="shared" si="29"/>
        <v>9.9000000000000039</v>
      </c>
      <c r="M148" s="4">
        <f t="shared" si="29"/>
        <v>9.7000000000000046</v>
      </c>
      <c r="N148" s="4">
        <f t="shared" si="29"/>
        <v>9.5000000000000053</v>
      </c>
      <c r="O148" s="4">
        <f t="shared" si="29"/>
        <v>9.300000000000006</v>
      </c>
      <c r="P148" s="4">
        <f t="shared" si="29"/>
        <v>9.1000000000000068</v>
      </c>
      <c r="Q148" s="4">
        <f t="shared" si="29"/>
        <v>8.9000000000000075</v>
      </c>
      <c r="R148" s="4">
        <f t="shared" si="29"/>
        <v>8.7000000000000082</v>
      </c>
      <c r="S148" s="4">
        <f t="shared" si="29"/>
        <v>8.5000000000000089</v>
      </c>
      <c r="T148" s="4">
        <f t="shared" si="29"/>
        <v>8.3000000000000096</v>
      </c>
      <c r="U148" s="4">
        <f t="shared" si="29"/>
        <v>8.1000000000000103</v>
      </c>
      <c r="V148" s="4">
        <f t="shared" si="29"/>
        <v>7.9000000000000101</v>
      </c>
      <c r="W148" s="4">
        <f t="shared" si="29"/>
        <v>7.7000000000000099</v>
      </c>
      <c r="X148" s="4">
        <f t="shared" si="29"/>
        <v>7.5000000000000098</v>
      </c>
      <c r="Y148" s="4">
        <f t="shared" si="29"/>
        <v>7.3000000000000096</v>
      </c>
      <c r="Z148" s="4">
        <f t="shared" si="29"/>
        <v>7.1000000000000094</v>
      </c>
      <c r="AA148" s="4">
        <f t="shared" si="29"/>
        <v>6.9000000000000092</v>
      </c>
      <c r="AB148" s="4">
        <f t="shared" si="29"/>
        <v>6.7000000000000091</v>
      </c>
      <c r="AC148" s="4">
        <f t="shared" si="29"/>
        <v>6.5000000000000089</v>
      </c>
      <c r="AD148" s="4">
        <f t="shared" si="29"/>
        <v>6.3000000000000087</v>
      </c>
      <c r="AE148" s="4">
        <f t="shared" si="29"/>
        <v>6.1000000000000085</v>
      </c>
      <c r="AF148" s="4">
        <f t="shared" si="29"/>
        <v>5.9000000000000083</v>
      </c>
      <c r="AG148" s="4">
        <f t="shared" si="29"/>
        <v>5.7000000000000082</v>
      </c>
      <c r="AH148" s="4">
        <f t="shared" si="29"/>
        <v>5.500000000000008</v>
      </c>
      <c r="AI148" s="4">
        <f t="shared" si="29"/>
        <v>5.3000000000000078</v>
      </c>
      <c r="AJ148" s="4">
        <f t="shared" si="29"/>
        <v>5.1000000000000076</v>
      </c>
      <c r="AK148" s="4">
        <f t="shared" si="29"/>
        <v>4.9000000000000075</v>
      </c>
    </row>
    <row r="149" spans="3:37" outlineLevel="1" x14ac:dyDescent="0.25">
      <c r="C149" s="38">
        <v>12</v>
      </c>
      <c r="D149" s="4">
        <f t="shared" si="29"/>
        <v>11.7</v>
      </c>
      <c r="E149" s="4">
        <f t="shared" si="29"/>
        <v>11.399999999999999</v>
      </c>
      <c r="F149" s="4">
        <f t="shared" si="29"/>
        <v>11.2</v>
      </c>
      <c r="G149" s="4">
        <f t="shared" si="29"/>
        <v>11</v>
      </c>
      <c r="H149" s="4">
        <f t="shared" si="29"/>
        <v>10.8</v>
      </c>
      <c r="I149" s="4">
        <f t="shared" si="29"/>
        <v>10.600000000000001</v>
      </c>
      <c r="J149" s="4">
        <f t="shared" si="29"/>
        <v>10.400000000000002</v>
      </c>
      <c r="K149" s="4">
        <f t="shared" si="29"/>
        <v>10.200000000000003</v>
      </c>
      <c r="L149" s="4">
        <f t="shared" si="29"/>
        <v>10.000000000000004</v>
      </c>
      <c r="M149" s="4">
        <f t="shared" si="29"/>
        <v>9.8000000000000043</v>
      </c>
      <c r="N149" s="4">
        <f t="shared" si="29"/>
        <v>9.600000000000005</v>
      </c>
      <c r="O149" s="4">
        <f t="shared" si="29"/>
        <v>9.4000000000000057</v>
      </c>
      <c r="P149" s="4">
        <f t="shared" si="29"/>
        <v>9.2000000000000064</v>
      </c>
      <c r="Q149" s="4">
        <f t="shared" si="29"/>
        <v>9.0000000000000071</v>
      </c>
      <c r="R149" s="4">
        <f t="shared" si="29"/>
        <v>8.8000000000000078</v>
      </c>
      <c r="S149" s="4">
        <f t="shared" si="29"/>
        <v>8.6000000000000085</v>
      </c>
      <c r="T149" s="4">
        <f t="shared" si="29"/>
        <v>8.4000000000000092</v>
      </c>
      <c r="U149" s="4">
        <f t="shared" si="29"/>
        <v>8.2000000000000099</v>
      </c>
      <c r="V149" s="4">
        <f t="shared" si="29"/>
        <v>8.0000000000000107</v>
      </c>
      <c r="W149" s="4">
        <f t="shared" si="29"/>
        <v>7.8000000000000105</v>
      </c>
      <c r="X149" s="4">
        <f t="shared" si="29"/>
        <v>7.6000000000000103</v>
      </c>
      <c r="Y149" s="4">
        <f t="shared" si="29"/>
        <v>7.4000000000000101</v>
      </c>
      <c r="Z149" s="4">
        <f t="shared" si="29"/>
        <v>7.2000000000000099</v>
      </c>
      <c r="AA149" s="4">
        <f t="shared" si="29"/>
        <v>7.0000000000000098</v>
      </c>
      <c r="AB149" s="4">
        <f t="shared" si="29"/>
        <v>6.8000000000000096</v>
      </c>
      <c r="AC149" s="4">
        <f t="shared" si="29"/>
        <v>6.6000000000000094</v>
      </c>
      <c r="AD149" s="4">
        <f t="shared" si="29"/>
        <v>6.4000000000000092</v>
      </c>
      <c r="AE149" s="4">
        <f t="shared" si="29"/>
        <v>6.2000000000000091</v>
      </c>
      <c r="AF149" s="4">
        <f t="shared" si="29"/>
        <v>6.0000000000000089</v>
      </c>
      <c r="AG149" s="4">
        <f t="shared" si="29"/>
        <v>5.8000000000000087</v>
      </c>
      <c r="AH149" s="4">
        <f t="shared" si="29"/>
        <v>5.6000000000000085</v>
      </c>
      <c r="AI149" s="4">
        <f t="shared" si="29"/>
        <v>5.4000000000000083</v>
      </c>
      <c r="AJ149" s="4">
        <f t="shared" si="29"/>
        <v>5.2000000000000082</v>
      </c>
      <c r="AK149" s="4">
        <f t="shared" si="29"/>
        <v>5.000000000000008</v>
      </c>
    </row>
    <row r="150" spans="3:37" outlineLevel="1" x14ac:dyDescent="0.25">
      <c r="C150" s="38">
        <v>12.1</v>
      </c>
      <c r="D150" s="4">
        <f t="shared" si="29"/>
        <v>11.799999999999999</v>
      </c>
      <c r="E150" s="4">
        <f t="shared" si="29"/>
        <v>11.499999999999998</v>
      </c>
      <c r="F150" s="4">
        <f t="shared" si="29"/>
        <v>11.199999999999998</v>
      </c>
      <c r="G150" s="4">
        <f t="shared" si="29"/>
        <v>10.999999999999998</v>
      </c>
      <c r="H150" s="4">
        <f t="shared" si="29"/>
        <v>10.799999999999999</v>
      </c>
      <c r="I150" s="4">
        <f t="shared" si="29"/>
        <v>10.6</v>
      </c>
      <c r="J150" s="4">
        <f t="shared" si="29"/>
        <v>10.4</v>
      </c>
      <c r="K150" s="4">
        <f t="shared" si="29"/>
        <v>10.200000000000001</v>
      </c>
      <c r="L150" s="4">
        <f t="shared" si="29"/>
        <v>10.000000000000002</v>
      </c>
      <c r="M150" s="4">
        <f t="shared" si="29"/>
        <v>9.8000000000000025</v>
      </c>
      <c r="N150" s="4">
        <f t="shared" si="29"/>
        <v>9.6000000000000032</v>
      </c>
      <c r="O150" s="4">
        <f t="shared" si="29"/>
        <v>9.4000000000000039</v>
      </c>
      <c r="P150" s="4">
        <f t="shared" si="29"/>
        <v>9.2000000000000046</v>
      </c>
      <c r="Q150" s="4">
        <f t="shared" si="29"/>
        <v>9.0000000000000053</v>
      </c>
      <c r="R150" s="4">
        <f t="shared" si="29"/>
        <v>8.800000000000006</v>
      </c>
      <c r="S150" s="4">
        <f t="shared" si="29"/>
        <v>8.6000000000000068</v>
      </c>
      <c r="T150" s="4">
        <f t="shared" si="29"/>
        <v>8.4000000000000075</v>
      </c>
      <c r="U150" s="4">
        <f t="shared" si="29"/>
        <v>8.2000000000000082</v>
      </c>
      <c r="V150" s="4">
        <f t="shared" si="29"/>
        <v>8.0000000000000089</v>
      </c>
      <c r="W150" s="4">
        <f t="shared" si="29"/>
        <v>7.8000000000000087</v>
      </c>
      <c r="X150" s="4">
        <f t="shared" si="29"/>
        <v>7.6000000000000085</v>
      </c>
      <c r="Y150" s="4">
        <f t="shared" si="29"/>
        <v>7.4000000000000083</v>
      </c>
      <c r="Z150" s="4">
        <f t="shared" si="29"/>
        <v>7.2000000000000082</v>
      </c>
      <c r="AA150" s="4">
        <f t="shared" si="29"/>
        <v>7.000000000000008</v>
      </c>
      <c r="AB150" s="4">
        <f t="shared" si="29"/>
        <v>6.8000000000000078</v>
      </c>
      <c r="AC150" s="4">
        <f t="shared" si="29"/>
        <v>6.6000000000000076</v>
      </c>
      <c r="AD150" s="4">
        <f t="shared" si="29"/>
        <v>6.4000000000000075</v>
      </c>
      <c r="AE150" s="4">
        <f t="shared" si="29"/>
        <v>6.2000000000000073</v>
      </c>
      <c r="AF150" s="4">
        <f t="shared" si="29"/>
        <v>6.0000000000000071</v>
      </c>
      <c r="AG150" s="4">
        <f t="shared" si="29"/>
        <v>5.8000000000000069</v>
      </c>
      <c r="AH150" s="4">
        <f t="shared" si="29"/>
        <v>5.6000000000000068</v>
      </c>
      <c r="AI150" s="4">
        <f t="shared" si="29"/>
        <v>5.4000000000000066</v>
      </c>
      <c r="AJ150" s="4">
        <f t="shared" si="29"/>
        <v>5.2000000000000064</v>
      </c>
      <c r="AK150" s="4">
        <f t="shared" si="29"/>
        <v>5.0000000000000062</v>
      </c>
    </row>
    <row r="151" spans="3:37" outlineLevel="1" x14ac:dyDescent="0.25">
      <c r="C151" s="38">
        <v>12.2</v>
      </c>
      <c r="D151" s="4">
        <f t="shared" si="29"/>
        <v>11.899999999999999</v>
      </c>
      <c r="E151" s="4">
        <f t="shared" si="29"/>
        <v>11.599999999999998</v>
      </c>
      <c r="F151" s="4">
        <f t="shared" si="29"/>
        <v>11.299999999999997</v>
      </c>
      <c r="G151" s="4">
        <f t="shared" si="29"/>
        <v>11.099999999999998</v>
      </c>
      <c r="H151" s="4">
        <f t="shared" si="29"/>
        <v>10.899999999999999</v>
      </c>
      <c r="I151" s="4">
        <f t="shared" si="29"/>
        <v>10.7</v>
      </c>
      <c r="J151" s="4">
        <f t="shared" si="29"/>
        <v>10.5</v>
      </c>
      <c r="K151" s="4">
        <f t="shared" si="29"/>
        <v>10.3</v>
      </c>
      <c r="L151" s="4">
        <f t="shared" si="29"/>
        <v>10.100000000000001</v>
      </c>
      <c r="M151" s="4">
        <f t="shared" si="29"/>
        <v>9.9000000000000021</v>
      </c>
      <c r="N151" s="4">
        <f t="shared" si="29"/>
        <v>9.7000000000000028</v>
      </c>
      <c r="O151" s="4">
        <f t="shared" si="29"/>
        <v>9.5000000000000036</v>
      </c>
      <c r="P151" s="4">
        <f t="shared" si="29"/>
        <v>9.3000000000000043</v>
      </c>
      <c r="Q151" s="4">
        <f t="shared" si="29"/>
        <v>9.100000000000005</v>
      </c>
      <c r="R151" s="4">
        <f t="shared" si="29"/>
        <v>8.9000000000000057</v>
      </c>
      <c r="S151" s="4">
        <f t="shared" si="29"/>
        <v>8.7000000000000064</v>
      </c>
      <c r="T151" s="4">
        <f t="shared" si="29"/>
        <v>8.5000000000000071</v>
      </c>
      <c r="U151" s="4">
        <f t="shared" si="29"/>
        <v>8.3000000000000078</v>
      </c>
      <c r="V151" s="4">
        <f t="shared" si="29"/>
        <v>8.1000000000000085</v>
      </c>
      <c r="W151" s="4">
        <f t="shared" si="29"/>
        <v>7.9000000000000083</v>
      </c>
      <c r="X151" s="4">
        <f t="shared" si="29"/>
        <v>7.7000000000000082</v>
      </c>
      <c r="Y151" s="4">
        <f t="shared" si="29"/>
        <v>7.500000000000008</v>
      </c>
      <c r="Z151" s="4">
        <f t="shared" si="29"/>
        <v>7.3000000000000078</v>
      </c>
      <c r="AA151" s="4">
        <f t="shared" si="29"/>
        <v>7.1000000000000076</v>
      </c>
      <c r="AB151" s="4">
        <f t="shared" si="29"/>
        <v>6.9000000000000075</v>
      </c>
      <c r="AC151" s="4">
        <f t="shared" si="29"/>
        <v>6.7000000000000073</v>
      </c>
      <c r="AD151" s="4">
        <f t="shared" si="29"/>
        <v>6.5000000000000071</v>
      </c>
      <c r="AE151" s="4">
        <f t="shared" si="29"/>
        <v>6.3000000000000069</v>
      </c>
      <c r="AF151" s="4">
        <f t="shared" si="29"/>
        <v>6.1000000000000068</v>
      </c>
      <c r="AG151" s="4">
        <f t="shared" si="29"/>
        <v>5.9000000000000066</v>
      </c>
      <c r="AH151" s="4">
        <f t="shared" si="29"/>
        <v>5.7000000000000064</v>
      </c>
      <c r="AI151" s="4">
        <f t="shared" si="29"/>
        <v>5.5000000000000062</v>
      </c>
      <c r="AJ151" s="4">
        <f t="shared" si="29"/>
        <v>5.300000000000006</v>
      </c>
      <c r="AK151" s="4">
        <f t="shared" si="29"/>
        <v>5.1000000000000059</v>
      </c>
    </row>
    <row r="152" spans="3:37" outlineLevel="1" x14ac:dyDescent="0.25">
      <c r="C152" s="38">
        <v>12.3</v>
      </c>
      <c r="D152" s="4">
        <f t="shared" si="29"/>
        <v>12</v>
      </c>
      <c r="E152" s="4">
        <f t="shared" si="29"/>
        <v>11.7</v>
      </c>
      <c r="F152" s="4">
        <f t="shared" si="29"/>
        <v>11.399999999999999</v>
      </c>
      <c r="G152" s="4">
        <f t="shared" si="29"/>
        <v>11.2</v>
      </c>
      <c r="H152" s="4">
        <f t="shared" si="29"/>
        <v>11</v>
      </c>
      <c r="I152" s="4">
        <f t="shared" si="29"/>
        <v>10.8</v>
      </c>
      <c r="J152" s="4">
        <f t="shared" si="29"/>
        <v>10.600000000000001</v>
      </c>
      <c r="K152" s="4">
        <f t="shared" si="29"/>
        <v>10.400000000000002</v>
      </c>
      <c r="L152" s="4">
        <f t="shared" si="29"/>
        <v>10.200000000000003</v>
      </c>
      <c r="M152" s="4">
        <f t="shared" si="29"/>
        <v>10.000000000000004</v>
      </c>
      <c r="N152" s="4">
        <f t="shared" si="29"/>
        <v>9.8000000000000043</v>
      </c>
      <c r="O152" s="4">
        <f t="shared" si="29"/>
        <v>9.600000000000005</v>
      </c>
      <c r="P152" s="4">
        <f t="shared" si="29"/>
        <v>9.4000000000000057</v>
      </c>
      <c r="Q152" s="4">
        <f t="shared" si="29"/>
        <v>9.2000000000000064</v>
      </c>
      <c r="R152" s="4">
        <f t="shared" si="29"/>
        <v>9.0000000000000071</v>
      </c>
      <c r="S152" s="4">
        <f t="shared" si="29"/>
        <v>8.8000000000000078</v>
      </c>
      <c r="T152" s="4">
        <f t="shared" si="29"/>
        <v>8.6000000000000085</v>
      </c>
      <c r="U152" s="4">
        <f t="shared" ref="U152:AK152" si="30">(IF(T152&lt;=4.4,T152-$E$6,IF(AND(T152&gt;=4.5,T152&lt;=11.4),T152-$E$7,IF(AND(T152&gt;=11.5,T152&lt;=18.4),T152-$E$8,IF(AND(T152&gt;=18.5,T152&lt;=26.4),T152-$E$9,IF(AND(T152&gt;=26.4,T152&lt;=36),T152-$E$10,IF(T152&gt;=37,T152-$E$11)))))))</f>
        <v>8.4000000000000092</v>
      </c>
      <c r="V152" s="4">
        <f t="shared" si="30"/>
        <v>8.2000000000000099</v>
      </c>
      <c r="W152" s="4">
        <f t="shared" si="30"/>
        <v>8.0000000000000107</v>
      </c>
      <c r="X152" s="4">
        <f t="shared" si="30"/>
        <v>7.8000000000000105</v>
      </c>
      <c r="Y152" s="4">
        <f t="shared" si="30"/>
        <v>7.6000000000000103</v>
      </c>
      <c r="Z152" s="4">
        <f t="shared" si="30"/>
        <v>7.4000000000000101</v>
      </c>
      <c r="AA152" s="4">
        <f t="shared" si="30"/>
        <v>7.2000000000000099</v>
      </c>
      <c r="AB152" s="4">
        <f t="shared" si="30"/>
        <v>7.0000000000000098</v>
      </c>
      <c r="AC152" s="4">
        <f t="shared" si="30"/>
        <v>6.8000000000000096</v>
      </c>
      <c r="AD152" s="4">
        <f t="shared" si="30"/>
        <v>6.6000000000000094</v>
      </c>
      <c r="AE152" s="4">
        <f t="shared" si="30"/>
        <v>6.4000000000000092</v>
      </c>
      <c r="AF152" s="4">
        <f t="shared" si="30"/>
        <v>6.2000000000000091</v>
      </c>
      <c r="AG152" s="4">
        <f t="shared" si="30"/>
        <v>6.0000000000000089</v>
      </c>
      <c r="AH152" s="4">
        <f t="shared" si="30"/>
        <v>5.8000000000000087</v>
      </c>
      <c r="AI152" s="4">
        <f t="shared" si="30"/>
        <v>5.6000000000000085</v>
      </c>
      <c r="AJ152" s="4">
        <f t="shared" si="30"/>
        <v>5.4000000000000083</v>
      </c>
      <c r="AK152" s="4">
        <f t="shared" si="30"/>
        <v>5.2000000000000082</v>
      </c>
    </row>
    <row r="153" spans="3:37" outlineLevel="1" x14ac:dyDescent="0.25">
      <c r="C153" s="38">
        <v>12.4</v>
      </c>
      <c r="D153" s="4">
        <f t="shared" ref="D153:AK160" si="31">(IF(C153&lt;=4.4,C153-$E$6,IF(AND(C153&gt;=4.5,C153&lt;=11.4),C153-$E$7,IF(AND(C153&gt;=11.5,C153&lt;=18.4),C153-$E$8,IF(AND(C153&gt;=18.5,C153&lt;=26.4),C153-$E$9,IF(AND(C153&gt;=26.4,C153&lt;=36),C153-$E$10,IF(C153&gt;=37,C153-$E$11)))))))</f>
        <v>12.1</v>
      </c>
      <c r="E153" s="4">
        <f t="shared" si="31"/>
        <v>11.799999999999999</v>
      </c>
      <c r="F153" s="4">
        <f t="shared" si="31"/>
        <v>11.499999999999998</v>
      </c>
      <c r="G153" s="4">
        <f t="shared" si="31"/>
        <v>11.199999999999998</v>
      </c>
      <c r="H153" s="4">
        <f t="shared" si="31"/>
        <v>10.999999999999998</v>
      </c>
      <c r="I153" s="4">
        <f t="shared" si="31"/>
        <v>10.799999999999999</v>
      </c>
      <c r="J153" s="4">
        <f t="shared" si="31"/>
        <v>10.6</v>
      </c>
      <c r="K153" s="4">
        <f t="shared" si="31"/>
        <v>10.4</v>
      </c>
      <c r="L153" s="4">
        <f t="shared" si="31"/>
        <v>10.200000000000001</v>
      </c>
      <c r="M153" s="4">
        <f t="shared" si="31"/>
        <v>10.000000000000002</v>
      </c>
      <c r="N153" s="4">
        <f t="shared" si="31"/>
        <v>9.8000000000000025</v>
      </c>
      <c r="O153" s="4">
        <f t="shared" si="31"/>
        <v>9.6000000000000032</v>
      </c>
      <c r="P153" s="4">
        <f t="shared" si="31"/>
        <v>9.4000000000000039</v>
      </c>
      <c r="Q153" s="4">
        <f t="shared" si="31"/>
        <v>9.2000000000000046</v>
      </c>
      <c r="R153" s="4">
        <f t="shared" si="31"/>
        <v>9.0000000000000053</v>
      </c>
      <c r="S153" s="4">
        <f t="shared" si="31"/>
        <v>8.800000000000006</v>
      </c>
      <c r="T153" s="4">
        <f t="shared" si="31"/>
        <v>8.6000000000000068</v>
      </c>
      <c r="U153" s="4">
        <f t="shared" si="31"/>
        <v>8.4000000000000075</v>
      </c>
      <c r="V153" s="4">
        <f t="shared" si="31"/>
        <v>8.2000000000000082</v>
      </c>
      <c r="W153" s="4">
        <f t="shared" si="31"/>
        <v>8.0000000000000089</v>
      </c>
      <c r="X153" s="4">
        <f t="shared" si="31"/>
        <v>7.8000000000000087</v>
      </c>
      <c r="Y153" s="4">
        <f t="shared" si="31"/>
        <v>7.6000000000000085</v>
      </c>
      <c r="Z153" s="4">
        <f t="shared" si="31"/>
        <v>7.4000000000000083</v>
      </c>
      <c r="AA153" s="4">
        <f t="shared" si="31"/>
        <v>7.2000000000000082</v>
      </c>
      <c r="AB153" s="4">
        <f t="shared" si="31"/>
        <v>7.000000000000008</v>
      </c>
      <c r="AC153" s="4">
        <f t="shared" si="31"/>
        <v>6.8000000000000078</v>
      </c>
      <c r="AD153" s="4">
        <f t="shared" si="31"/>
        <v>6.6000000000000076</v>
      </c>
      <c r="AE153" s="4">
        <f t="shared" si="31"/>
        <v>6.4000000000000075</v>
      </c>
      <c r="AF153" s="4">
        <f t="shared" si="31"/>
        <v>6.2000000000000073</v>
      </c>
      <c r="AG153" s="4">
        <f t="shared" si="31"/>
        <v>6.0000000000000071</v>
      </c>
      <c r="AH153" s="4">
        <f t="shared" si="31"/>
        <v>5.8000000000000069</v>
      </c>
      <c r="AI153" s="4">
        <f t="shared" si="31"/>
        <v>5.6000000000000068</v>
      </c>
      <c r="AJ153" s="4">
        <f t="shared" si="31"/>
        <v>5.4000000000000066</v>
      </c>
      <c r="AK153" s="4">
        <f t="shared" si="31"/>
        <v>5.2000000000000064</v>
      </c>
    </row>
    <row r="154" spans="3:37" outlineLevel="1" x14ac:dyDescent="0.25">
      <c r="C154" s="38">
        <v>12.5</v>
      </c>
      <c r="D154" s="4">
        <f t="shared" si="31"/>
        <v>12.2</v>
      </c>
      <c r="E154" s="4">
        <f t="shared" si="31"/>
        <v>11.899999999999999</v>
      </c>
      <c r="F154" s="4">
        <f t="shared" si="31"/>
        <v>11.599999999999998</v>
      </c>
      <c r="G154" s="4">
        <f t="shared" si="31"/>
        <v>11.299999999999997</v>
      </c>
      <c r="H154" s="4">
        <f t="shared" si="31"/>
        <v>11.099999999999998</v>
      </c>
      <c r="I154" s="4">
        <f t="shared" si="31"/>
        <v>10.899999999999999</v>
      </c>
      <c r="J154" s="4">
        <f t="shared" si="31"/>
        <v>10.7</v>
      </c>
      <c r="K154" s="4">
        <f t="shared" si="31"/>
        <v>10.5</v>
      </c>
      <c r="L154" s="4">
        <f t="shared" si="31"/>
        <v>10.3</v>
      </c>
      <c r="M154" s="4">
        <f t="shared" si="31"/>
        <v>10.100000000000001</v>
      </c>
      <c r="N154" s="4">
        <f t="shared" si="31"/>
        <v>9.9000000000000021</v>
      </c>
      <c r="O154" s="4">
        <f t="shared" si="31"/>
        <v>9.7000000000000028</v>
      </c>
      <c r="P154" s="4">
        <f t="shared" si="31"/>
        <v>9.5000000000000036</v>
      </c>
      <c r="Q154" s="4">
        <f t="shared" si="31"/>
        <v>9.3000000000000043</v>
      </c>
      <c r="R154" s="4">
        <f t="shared" si="31"/>
        <v>9.100000000000005</v>
      </c>
      <c r="S154" s="4">
        <f t="shared" si="31"/>
        <v>8.9000000000000057</v>
      </c>
      <c r="T154" s="4">
        <f t="shared" si="31"/>
        <v>8.7000000000000064</v>
      </c>
      <c r="U154" s="4">
        <f t="shared" si="31"/>
        <v>8.5000000000000071</v>
      </c>
      <c r="V154" s="4">
        <f t="shared" si="31"/>
        <v>8.3000000000000078</v>
      </c>
      <c r="W154" s="4">
        <f t="shared" si="31"/>
        <v>8.1000000000000085</v>
      </c>
      <c r="X154" s="4">
        <f t="shared" si="31"/>
        <v>7.9000000000000083</v>
      </c>
      <c r="Y154" s="4">
        <f t="shared" si="31"/>
        <v>7.7000000000000082</v>
      </c>
      <c r="Z154" s="4">
        <f t="shared" si="31"/>
        <v>7.500000000000008</v>
      </c>
      <c r="AA154" s="4">
        <f t="shared" si="31"/>
        <v>7.3000000000000078</v>
      </c>
      <c r="AB154" s="4">
        <f t="shared" si="31"/>
        <v>7.1000000000000076</v>
      </c>
      <c r="AC154" s="4">
        <f t="shared" si="31"/>
        <v>6.9000000000000075</v>
      </c>
      <c r="AD154" s="4">
        <f t="shared" si="31"/>
        <v>6.7000000000000073</v>
      </c>
      <c r="AE154" s="4">
        <f t="shared" si="31"/>
        <v>6.5000000000000071</v>
      </c>
      <c r="AF154" s="4">
        <f t="shared" si="31"/>
        <v>6.3000000000000069</v>
      </c>
      <c r="AG154" s="4">
        <f t="shared" si="31"/>
        <v>6.1000000000000068</v>
      </c>
      <c r="AH154" s="4">
        <f t="shared" si="31"/>
        <v>5.9000000000000066</v>
      </c>
      <c r="AI154" s="4">
        <f t="shared" si="31"/>
        <v>5.7000000000000064</v>
      </c>
      <c r="AJ154" s="4">
        <f t="shared" si="31"/>
        <v>5.5000000000000062</v>
      </c>
      <c r="AK154" s="4">
        <f t="shared" si="31"/>
        <v>5.300000000000006</v>
      </c>
    </row>
    <row r="155" spans="3:37" outlineLevel="1" x14ac:dyDescent="0.25">
      <c r="C155" s="38">
        <v>12.6</v>
      </c>
      <c r="D155" s="4">
        <f t="shared" si="31"/>
        <v>12.299999999999999</v>
      </c>
      <c r="E155" s="4">
        <f t="shared" si="31"/>
        <v>11.999999999999998</v>
      </c>
      <c r="F155" s="4">
        <f t="shared" si="31"/>
        <v>11.699999999999998</v>
      </c>
      <c r="G155" s="4">
        <f t="shared" si="31"/>
        <v>11.399999999999997</v>
      </c>
      <c r="H155" s="4">
        <f t="shared" si="31"/>
        <v>11.199999999999998</v>
      </c>
      <c r="I155" s="4">
        <f t="shared" si="31"/>
        <v>10.999999999999998</v>
      </c>
      <c r="J155" s="4">
        <f t="shared" si="31"/>
        <v>10.799999999999999</v>
      </c>
      <c r="K155" s="4">
        <f t="shared" si="31"/>
        <v>10.6</v>
      </c>
      <c r="L155" s="4">
        <f t="shared" si="31"/>
        <v>10.4</v>
      </c>
      <c r="M155" s="4">
        <f t="shared" si="31"/>
        <v>10.200000000000001</v>
      </c>
      <c r="N155" s="4">
        <f t="shared" si="31"/>
        <v>10.000000000000002</v>
      </c>
      <c r="O155" s="4">
        <f t="shared" si="31"/>
        <v>9.8000000000000025</v>
      </c>
      <c r="P155" s="4">
        <f t="shared" si="31"/>
        <v>9.6000000000000032</v>
      </c>
      <c r="Q155" s="4">
        <f t="shared" si="31"/>
        <v>9.4000000000000039</v>
      </c>
      <c r="R155" s="4">
        <f t="shared" si="31"/>
        <v>9.2000000000000046</v>
      </c>
      <c r="S155" s="4">
        <f t="shared" si="31"/>
        <v>9.0000000000000053</v>
      </c>
      <c r="T155" s="4">
        <f t="shared" si="31"/>
        <v>8.800000000000006</v>
      </c>
      <c r="U155" s="4">
        <f t="shared" si="31"/>
        <v>8.6000000000000068</v>
      </c>
      <c r="V155" s="4">
        <f t="shared" si="31"/>
        <v>8.4000000000000075</v>
      </c>
      <c r="W155" s="4">
        <f t="shared" si="31"/>
        <v>8.2000000000000082</v>
      </c>
      <c r="X155" s="4">
        <f t="shared" si="31"/>
        <v>8.0000000000000089</v>
      </c>
      <c r="Y155" s="4">
        <f t="shared" si="31"/>
        <v>7.8000000000000087</v>
      </c>
      <c r="Z155" s="4">
        <f t="shared" si="31"/>
        <v>7.6000000000000085</v>
      </c>
      <c r="AA155" s="4">
        <f t="shared" si="31"/>
        <v>7.4000000000000083</v>
      </c>
      <c r="AB155" s="4">
        <f t="shared" si="31"/>
        <v>7.2000000000000082</v>
      </c>
      <c r="AC155" s="4">
        <f t="shared" si="31"/>
        <v>7.000000000000008</v>
      </c>
      <c r="AD155" s="4">
        <f t="shared" si="31"/>
        <v>6.8000000000000078</v>
      </c>
      <c r="AE155" s="4">
        <f t="shared" si="31"/>
        <v>6.6000000000000076</v>
      </c>
      <c r="AF155" s="4">
        <f t="shared" si="31"/>
        <v>6.4000000000000075</v>
      </c>
      <c r="AG155" s="4">
        <f t="shared" si="31"/>
        <v>6.2000000000000073</v>
      </c>
      <c r="AH155" s="4">
        <f t="shared" si="31"/>
        <v>6.0000000000000071</v>
      </c>
      <c r="AI155" s="4">
        <f t="shared" si="31"/>
        <v>5.8000000000000069</v>
      </c>
      <c r="AJ155" s="4">
        <f t="shared" si="31"/>
        <v>5.6000000000000068</v>
      </c>
      <c r="AK155" s="4">
        <f t="shared" si="31"/>
        <v>5.4000000000000066</v>
      </c>
    </row>
    <row r="156" spans="3:37" outlineLevel="1" x14ac:dyDescent="0.25">
      <c r="C156" s="38">
        <v>12.7</v>
      </c>
      <c r="D156" s="4">
        <f t="shared" si="31"/>
        <v>12.399999999999999</v>
      </c>
      <c r="E156" s="4">
        <f t="shared" si="31"/>
        <v>12.099999999999998</v>
      </c>
      <c r="F156" s="4">
        <f t="shared" si="31"/>
        <v>11.799999999999997</v>
      </c>
      <c r="G156" s="4">
        <f t="shared" si="31"/>
        <v>11.499999999999996</v>
      </c>
      <c r="H156" s="4">
        <f t="shared" si="31"/>
        <v>11.199999999999996</v>
      </c>
      <c r="I156" s="4">
        <f t="shared" si="31"/>
        <v>10.999999999999996</v>
      </c>
      <c r="J156" s="4">
        <f t="shared" si="31"/>
        <v>10.799999999999997</v>
      </c>
      <c r="K156" s="4">
        <f t="shared" si="31"/>
        <v>10.599999999999998</v>
      </c>
      <c r="L156" s="4">
        <f t="shared" si="31"/>
        <v>10.399999999999999</v>
      </c>
      <c r="M156" s="4">
        <f t="shared" si="31"/>
        <v>10.199999999999999</v>
      </c>
      <c r="N156" s="4">
        <f t="shared" si="31"/>
        <v>10</v>
      </c>
      <c r="O156" s="4">
        <f t="shared" si="31"/>
        <v>9.8000000000000007</v>
      </c>
      <c r="P156" s="4">
        <f t="shared" si="31"/>
        <v>9.6000000000000014</v>
      </c>
      <c r="Q156" s="4">
        <f t="shared" si="31"/>
        <v>9.4000000000000021</v>
      </c>
      <c r="R156" s="4">
        <f t="shared" si="31"/>
        <v>9.2000000000000028</v>
      </c>
      <c r="S156" s="4">
        <f t="shared" si="31"/>
        <v>9.0000000000000036</v>
      </c>
      <c r="T156" s="4">
        <f t="shared" si="31"/>
        <v>8.8000000000000043</v>
      </c>
      <c r="U156" s="4">
        <f t="shared" si="31"/>
        <v>8.600000000000005</v>
      </c>
      <c r="V156" s="4">
        <f t="shared" si="31"/>
        <v>8.4000000000000057</v>
      </c>
      <c r="W156" s="4">
        <f t="shared" si="31"/>
        <v>8.2000000000000064</v>
      </c>
      <c r="X156" s="4">
        <f t="shared" si="31"/>
        <v>8.0000000000000071</v>
      </c>
      <c r="Y156" s="4">
        <f t="shared" si="31"/>
        <v>7.8000000000000069</v>
      </c>
      <c r="Z156" s="4">
        <f t="shared" si="31"/>
        <v>7.6000000000000068</v>
      </c>
      <c r="AA156" s="4">
        <f t="shared" si="31"/>
        <v>7.4000000000000066</v>
      </c>
      <c r="AB156" s="4">
        <f t="shared" si="31"/>
        <v>7.2000000000000064</v>
      </c>
      <c r="AC156" s="4">
        <f t="shared" si="31"/>
        <v>7.0000000000000062</v>
      </c>
      <c r="AD156" s="4">
        <f t="shared" si="31"/>
        <v>6.800000000000006</v>
      </c>
      <c r="AE156" s="4">
        <f t="shared" si="31"/>
        <v>6.6000000000000059</v>
      </c>
      <c r="AF156" s="4">
        <f t="shared" si="31"/>
        <v>6.4000000000000057</v>
      </c>
      <c r="AG156" s="4">
        <f t="shared" si="31"/>
        <v>6.2000000000000055</v>
      </c>
      <c r="AH156" s="4">
        <f t="shared" si="31"/>
        <v>6.0000000000000053</v>
      </c>
      <c r="AI156" s="4">
        <f t="shared" si="31"/>
        <v>5.8000000000000052</v>
      </c>
      <c r="AJ156" s="4">
        <f t="shared" si="31"/>
        <v>5.600000000000005</v>
      </c>
      <c r="AK156" s="4">
        <f t="shared" si="31"/>
        <v>5.4000000000000048</v>
      </c>
    </row>
    <row r="157" spans="3:37" outlineLevel="1" x14ac:dyDescent="0.25">
      <c r="C157" s="38">
        <v>12.8</v>
      </c>
      <c r="D157" s="4">
        <f t="shared" si="31"/>
        <v>12.5</v>
      </c>
      <c r="E157" s="4">
        <f t="shared" si="31"/>
        <v>12.2</v>
      </c>
      <c r="F157" s="4">
        <f t="shared" si="31"/>
        <v>11.899999999999999</v>
      </c>
      <c r="G157" s="4">
        <f t="shared" si="31"/>
        <v>11.599999999999998</v>
      </c>
      <c r="H157" s="4">
        <f t="shared" si="31"/>
        <v>11.299999999999997</v>
      </c>
      <c r="I157" s="4">
        <f t="shared" si="31"/>
        <v>11.099999999999998</v>
      </c>
      <c r="J157" s="4">
        <f t="shared" si="31"/>
        <v>10.899999999999999</v>
      </c>
      <c r="K157" s="4">
        <f t="shared" si="31"/>
        <v>10.7</v>
      </c>
      <c r="L157" s="4">
        <f t="shared" si="31"/>
        <v>10.5</v>
      </c>
      <c r="M157" s="4">
        <f t="shared" si="31"/>
        <v>10.3</v>
      </c>
      <c r="N157" s="4">
        <f t="shared" si="31"/>
        <v>10.100000000000001</v>
      </c>
      <c r="O157" s="4">
        <f t="shared" si="31"/>
        <v>9.9000000000000021</v>
      </c>
      <c r="P157" s="4">
        <f t="shared" si="31"/>
        <v>9.7000000000000028</v>
      </c>
      <c r="Q157" s="4">
        <f t="shared" si="31"/>
        <v>9.5000000000000036</v>
      </c>
      <c r="R157" s="4">
        <f t="shared" si="31"/>
        <v>9.3000000000000043</v>
      </c>
      <c r="S157" s="4">
        <f t="shared" si="31"/>
        <v>9.100000000000005</v>
      </c>
      <c r="T157" s="4">
        <f t="shared" si="31"/>
        <v>8.9000000000000057</v>
      </c>
      <c r="U157" s="4">
        <f t="shared" si="31"/>
        <v>8.7000000000000064</v>
      </c>
      <c r="V157" s="4">
        <f t="shared" si="31"/>
        <v>8.5000000000000071</v>
      </c>
      <c r="W157" s="4">
        <f t="shared" si="31"/>
        <v>8.3000000000000078</v>
      </c>
      <c r="X157" s="4">
        <f t="shared" si="31"/>
        <v>8.1000000000000085</v>
      </c>
      <c r="Y157" s="4">
        <f t="shared" si="31"/>
        <v>7.9000000000000083</v>
      </c>
      <c r="Z157" s="4">
        <f t="shared" si="31"/>
        <v>7.7000000000000082</v>
      </c>
      <c r="AA157" s="4">
        <f t="shared" si="31"/>
        <v>7.500000000000008</v>
      </c>
      <c r="AB157" s="4">
        <f t="shared" si="31"/>
        <v>7.3000000000000078</v>
      </c>
      <c r="AC157" s="4">
        <f t="shared" si="31"/>
        <v>7.1000000000000076</v>
      </c>
      <c r="AD157" s="4">
        <f t="shared" si="31"/>
        <v>6.9000000000000075</v>
      </c>
      <c r="AE157" s="4">
        <f t="shared" si="31"/>
        <v>6.7000000000000073</v>
      </c>
      <c r="AF157" s="4">
        <f t="shared" si="31"/>
        <v>6.5000000000000071</v>
      </c>
      <c r="AG157" s="4">
        <f t="shared" si="31"/>
        <v>6.3000000000000069</v>
      </c>
      <c r="AH157" s="4">
        <f t="shared" si="31"/>
        <v>6.1000000000000068</v>
      </c>
      <c r="AI157" s="4">
        <f t="shared" si="31"/>
        <v>5.9000000000000066</v>
      </c>
      <c r="AJ157" s="4">
        <f t="shared" si="31"/>
        <v>5.7000000000000064</v>
      </c>
      <c r="AK157" s="4">
        <f t="shared" si="31"/>
        <v>5.5000000000000062</v>
      </c>
    </row>
    <row r="158" spans="3:37" outlineLevel="1" x14ac:dyDescent="0.25">
      <c r="C158" s="38">
        <v>12.9</v>
      </c>
      <c r="D158" s="4">
        <f t="shared" si="31"/>
        <v>12.6</v>
      </c>
      <c r="E158" s="4">
        <f t="shared" si="31"/>
        <v>12.299999999999999</v>
      </c>
      <c r="F158" s="4">
        <f t="shared" si="31"/>
        <v>11.999999999999998</v>
      </c>
      <c r="G158" s="4">
        <f t="shared" si="31"/>
        <v>11.699999999999998</v>
      </c>
      <c r="H158" s="4">
        <f t="shared" si="31"/>
        <v>11.399999999999997</v>
      </c>
      <c r="I158" s="4">
        <f t="shared" si="31"/>
        <v>11.199999999999998</v>
      </c>
      <c r="J158" s="4">
        <f t="shared" si="31"/>
        <v>10.999999999999998</v>
      </c>
      <c r="K158" s="4">
        <f t="shared" si="31"/>
        <v>10.799999999999999</v>
      </c>
      <c r="L158" s="4">
        <f t="shared" si="31"/>
        <v>10.6</v>
      </c>
      <c r="M158" s="4">
        <f t="shared" si="31"/>
        <v>10.4</v>
      </c>
      <c r="N158" s="4">
        <f t="shared" si="31"/>
        <v>10.200000000000001</v>
      </c>
      <c r="O158" s="4">
        <f t="shared" si="31"/>
        <v>10.000000000000002</v>
      </c>
      <c r="P158" s="4">
        <f t="shared" si="31"/>
        <v>9.8000000000000025</v>
      </c>
      <c r="Q158" s="4">
        <f t="shared" si="31"/>
        <v>9.6000000000000032</v>
      </c>
      <c r="R158" s="4">
        <f t="shared" si="31"/>
        <v>9.4000000000000039</v>
      </c>
      <c r="S158" s="4">
        <f t="shared" si="31"/>
        <v>9.2000000000000046</v>
      </c>
      <c r="T158" s="4">
        <f t="shared" si="31"/>
        <v>9.0000000000000053</v>
      </c>
      <c r="U158" s="4">
        <f t="shared" si="31"/>
        <v>8.800000000000006</v>
      </c>
      <c r="V158" s="4">
        <f t="shared" si="31"/>
        <v>8.6000000000000068</v>
      </c>
      <c r="W158" s="4">
        <f t="shared" si="31"/>
        <v>8.4000000000000075</v>
      </c>
      <c r="X158" s="4">
        <f t="shared" si="31"/>
        <v>8.2000000000000082</v>
      </c>
      <c r="Y158" s="4">
        <f t="shared" si="31"/>
        <v>8.0000000000000089</v>
      </c>
      <c r="Z158" s="4">
        <f t="shared" si="31"/>
        <v>7.8000000000000087</v>
      </c>
      <c r="AA158" s="4">
        <f t="shared" si="31"/>
        <v>7.6000000000000085</v>
      </c>
      <c r="AB158" s="4">
        <f t="shared" si="31"/>
        <v>7.4000000000000083</v>
      </c>
      <c r="AC158" s="4">
        <f t="shared" si="31"/>
        <v>7.2000000000000082</v>
      </c>
      <c r="AD158" s="4">
        <f t="shared" si="31"/>
        <v>7.000000000000008</v>
      </c>
      <c r="AE158" s="4">
        <f t="shared" si="31"/>
        <v>6.8000000000000078</v>
      </c>
      <c r="AF158" s="4">
        <f t="shared" si="31"/>
        <v>6.6000000000000076</v>
      </c>
      <c r="AG158" s="4">
        <f t="shared" si="31"/>
        <v>6.4000000000000075</v>
      </c>
      <c r="AH158" s="4">
        <f t="shared" si="31"/>
        <v>6.2000000000000073</v>
      </c>
      <c r="AI158" s="4">
        <f t="shared" si="31"/>
        <v>6.0000000000000071</v>
      </c>
      <c r="AJ158" s="4">
        <f t="shared" si="31"/>
        <v>5.8000000000000069</v>
      </c>
      <c r="AK158" s="4">
        <f t="shared" si="31"/>
        <v>5.6000000000000068</v>
      </c>
    </row>
    <row r="159" spans="3:37" outlineLevel="1" x14ac:dyDescent="0.25">
      <c r="C159" s="38">
        <v>13</v>
      </c>
      <c r="D159" s="4">
        <f t="shared" si="31"/>
        <v>12.7</v>
      </c>
      <c r="E159" s="4">
        <f t="shared" si="31"/>
        <v>12.399999999999999</v>
      </c>
      <c r="F159" s="4">
        <f t="shared" si="31"/>
        <v>12.099999999999998</v>
      </c>
      <c r="G159" s="4">
        <f t="shared" si="31"/>
        <v>11.799999999999997</v>
      </c>
      <c r="H159" s="4">
        <f t="shared" si="31"/>
        <v>11.499999999999996</v>
      </c>
      <c r="I159" s="4">
        <f t="shared" si="31"/>
        <v>11.199999999999996</v>
      </c>
      <c r="J159" s="4">
        <f t="shared" si="31"/>
        <v>10.999999999999996</v>
      </c>
      <c r="K159" s="4">
        <f t="shared" si="31"/>
        <v>10.799999999999997</v>
      </c>
      <c r="L159" s="4">
        <f t="shared" si="31"/>
        <v>10.599999999999998</v>
      </c>
      <c r="M159" s="4">
        <f t="shared" si="31"/>
        <v>10.399999999999999</v>
      </c>
      <c r="N159" s="4">
        <f t="shared" si="31"/>
        <v>10.199999999999999</v>
      </c>
      <c r="O159" s="4">
        <f t="shared" si="31"/>
        <v>10</v>
      </c>
      <c r="P159" s="4">
        <f t="shared" si="31"/>
        <v>9.8000000000000007</v>
      </c>
      <c r="Q159" s="4">
        <f t="shared" si="31"/>
        <v>9.6000000000000014</v>
      </c>
      <c r="R159" s="4">
        <f t="shared" si="31"/>
        <v>9.4000000000000021</v>
      </c>
      <c r="S159" s="4">
        <f t="shared" si="31"/>
        <v>9.2000000000000028</v>
      </c>
      <c r="T159" s="4">
        <f t="shared" si="31"/>
        <v>9.0000000000000036</v>
      </c>
      <c r="U159" s="4">
        <f t="shared" si="31"/>
        <v>8.8000000000000043</v>
      </c>
      <c r="V159" s="4">
        <f t="shared" si="31"/>
        <v>8.600000000000005</v>
      </c>
      <c r="W159" s="4">
        <f t="shared" si="31"/>
        <v>8.4000000000000057</v>
      </c>
      <c r="X159" s="4">
        <f t="shared" si="31"/>
        <v>8.2000000000000064</v>
      </c>
      <c r="Y159" s="4">
        <f t="shared" si="31"/>
        <v>8.0000000000000071</v>
      </c>
      <c r="Z159" s="4">
        <f t="shared" si="31"/>
        <v>7.8000000000000069</v>
      </c>
      <c r="AA159" s="4">
        <f t="shared" si="31"/>
        <v>7.6000000000000068</v>
      </c>
      <c r="AB159" s="4">
        <f t="shared" si="31"/>
        <v>7.4000000000000066</v>
      </c>
      <c r="AC159" s="4">
        <f t="shared" si="31"/>
        <v>7.2000000000000064</v>
      </c>
      <c r="AD159" s="4">
        <f t="shared" si="31"/>
        <v>7.0000000000000062</v>
      </c>
      <c r="AE159" s="4">
        <f t="shared" si="31"/>
        <v>6.800000000000006</v>
      </c>
      <c r="AF159" s="4">
        <f t="shared" si="31"/>
        <v>6.6000000000000059</v>
      </c>
      <c r="AG159" s="4">
        <f t="shared" si="31"/>
        <v>6.4000000000000057</v>
      </c>
      <c r="AH159" s="4">
        <f t="shared" si="31"/>
        <v>6.2000000000000055</v>
      </c>
      <c r="AI159" s="4">
        <f t="shared" si="31"/>
        <v>6.0000000000000053</v>
      </c>
      <c r="AJ159" s="4">
        <f t="shared" si="31"/>
        <v>5.8000000000000052</v>
      </c>
      <c r="AK159" s="4">
        <f t="shared" si="31"/>
        <v>5.600000000000005</v>
      </c>
    </row>
    <row r="160" spans="3:37" outlineLevel="1" x14ac:dyDescent="0.25">
      <c r="C160" s="38">
        <v>13.1</v>
      </c>
      <c r="D160" s="4">
        <f t="shared" si="31"/>
        <v>12.799999999999999</v>
      </c>
      <c r="E160" s="4">
        <f t="shared" si="31"/>
        <v>12.499999999999998</v>
      </c>
      <c r="F160" s="4">
        <f t="shared" si="31"/>
        <v>12.199999999999998</v>
      </c>
      <c r="G160" s="4">
        <f t="shared" si="31"/>
        <v>11.899999999999997</v>
      </c>
      <c r="H160" s="4">
        <f t="shared" si="31"/>
        <v>11.599999999999996</v>
      </c>
      <c r="I160" s="4">
        <f t="shared" si="31"/>
        <v>11.299999999999995</v>
      </c>
      <c r="J160" s="4">
        <f t="shared" si="31"/>
        <v>11.099999999999996</v>
      </c>
      <c r="K160" s="4">
        <f t="shared" si="31"/>
        <v>10.899999999999997</v>
      </c>
      <c r="L160" s="4">
        <f t="shared" si="31"/>
        <v>10.699999999999998</v>
      </c>
      <c r="M160" s="4">
        <f t="shared" si="31"/>
        <v>10.499999999999998</v>
      </c>
      <c r="N160" s="4">
        <f t="shared" si="31"/>
        <v>10.299999999999999</v>
      </c>
      <c r="O160" s="4">
        <f t="shared" si="31"/>
        <v>10.1</v>
      </c>
      <c r="P160" s="4">
        <f t="shared" si="31"/>
        <v>9.9</v>
      </c>
      <c r="Q160" s="4">
        <f t="shared" si="31"/>
        <v>9.7000000000000011</v>
      </c>
      <c r="R160" s="4">
        <f t="shared" si="31"/>
        <v>9.5000000000000018</v>
      </c>
      <c r="S160" s="4">
        <f t="shared" si="31"/>
        <v>9.3000000000000025</v>
      </c>
      <c r="T160" s="4">
        <f t="shared" si="31"/>
        <v>9.1000000000000032</v>
      </c>
      <c r="U160" s="4">
        <f t="shared" ref="U160:AK160" si="32">(IF(T160&lt;=4.4,T160-$E$6,IF(AND(T160&gt;=4.5,T160&lt;=11.4),T160-$E$7,IF(AND(T160&gt;=11.5,T160&lt;=18.4),T160-$E$8,IF(AND(T160&gt;=18.5,T160&lt;=26.4),T160-$E$9,IF(AND(T160&gt;=26.4,T160&lt;=36),T160-$E$10,IF(T160&gt;=37,T160-$E$11)))))))</f>
        <v>8.9000000000000039</v>
      </c>
      <c r="V160" s="4">
        <f t="shared" si="32"/>
        <v>8.7000000000000046</v>
      </c>
      <c r="W160" s="4">
        <f t="shared" si="32"/>
        <v>8.5000000000000053</v>
      </c>
      <c r="X160" s="4">
        <f t="shared" si="32"/>
        <v>8.300000000000006</v>
      </c>
      <c r="Y160" s="4">
        <f t="shared" si="32"/>
        <v>8.1000000000000068</v>
      </c>
      <c r="Z160" s="4">
        <f t="shared" si="32"/>
        <v>7.9000000000000066</v>
      </c>
      <c r="AA160" s="4">
        <f t="shared" si="32"/>
        <v>7.7000000000000064</v>
      </c>
      <c r="AB160" s="4">
        <f t="shared" si="32"/>
        <v>7.5000000000000062</v>
      </c>
      <c r="AC160" s="4">
        <f t="shared" si="32"/>
        <v>7.300000000000006</v>
      </c>
      <c r="AD160" s="4">
        <f t="shared" si="32"/>
        <v>7.1000000000000059</v>
      </c>
      <c r="AE160" s="4">
        <f t="shared" si="32"/>
        <v>6.9000000000000057</v>
      </c>
      <c r="AF160" s="4">
        <f t="shared" si="32"/>
        <v>6.7000000000000055</v>
      </c>
      <c r="AG160" s="4">
        <f t="shared" si="32"/>
        <v>6.5000000000000053</v>
      </c>
      <c r="AH160" s="4">
        <f t="shared" si="32"/>
        <v>6.3000000000000052</v>
      </c>
      <c r="AI160" s="4">
        <f t="shared" si="32"/>
        <v>6.100000000000005</v>
      </c>
      <c r="AJ160" s="4">
        <f t="shared" si="32"/>
        <v>5.9000000000000048</v>
      </c>
      <c r="AK160" s="4">
        <f t="shared" si="32"/>
        <v>5.7000000000000046</v>
      </c>
    </row>
    <row r="161" spans="3:37" outlineLevel="1" x14ac:dyDescent="0.25">
      <c r="C161" s="38">
        <v>13.2</v>
      </c>
      <c r="D161" s="4">
        <f t="shared" ref="D161:AK168" si="33">(IF(C161&lt;=4.4,C161-$E$6,IF(AND(C161&gt;=4.5,C161&lt;=11.4),C161-$E$7,IF(AND(C161&gt;=11.5,C161&lt;=18.4),C161-$E$8,IF(AND(C161&gt;=18.5,C161&lt;=26.4),C161-$E$9,IF(AND(C161&gt;=26.4,C161&lt;=36),C161-$E$10,IF(C161&gt;=37,C161-$E$11)))))))</f>
        <v>12.899999999999999</v>
      </c>
      <c r="E161" s="4">
        <f t="shared" si="33"/>
        <v>12.599999999999998</v>
      </c>
      <c r="F161" s="4">
        <f t="shared" si="33"/>
        <v>12.299999999999997</v>
      </c>
      <c r="G161" s="4">
        <f t="shared" si="33"/>
        <v>11.999999999999996</v>
      </c>
      <c r="H161" s="4">
        <f t="shared" si="33"/>
        <v>11.699999999999996</v>
      </c>
      <c r="I161" s="4">
        <f t="shared" si="33"/>
        <v>11.399999999999995</v>
      </c>
      <c r="J161" s="4">
        <f t="shared" si="33"/>
        <v>11.199999999999996</v>
      </c>
      <c r="K161" s="4">
        <f t="shared" si="33"/>
        <v>10.999999999999996</v>
      </c>
      <c r="L161" s="4">
        <f t="shared" si="33"/>
        <v>10.799999999999997</v>
      </c>
      <c r="M161" s="4">
        <f t="shared" si="33"/>
        <v>10.599999999999998</v>
      </c>
      <c r="N161" s="4">
        <f t="shared" si="33"/>
        <v>10.399999999999999</v>
      </c>
      <c r="O161" s="4">
        <f t="shared" si="33"/>
        <v>10.199999999999999</v>
      </c>
      <c r="P161" s="4">
        <f t="shared" si="33"/>
        <v>10</v>
      </c>
      <c r="Q161" s="4">
        <f t="shared" si="33"/>
        <v>9.8000000000000007</v>
      </c>
      <c r="R161" s="4">
        <f t="shared" si="33"/>
        <v>9.6000000000000014</v>
      </c>
      <c r="S161" s="4">
        <f t="shared" si="33"/>
        <v>9.4000000000000021</v>
      </c>
      <c r="T161" s="4">
        <f t="shared" si="33"/>
        <v>9.2000000000000028</v>
      </c>
      <c r="U161" s="4">
        <f t="shared" si="33"/>
        <v>9.0000000000000036</v>
      </c>
      <c r="V161" s="4">
        <f t="shared" si="33"/>
        <v>8.8000000000000043</v>
      </c>
      <c r="W161" s="4">
        <f t="shared" si="33"/>
        <v>8.600000000000005</v>
      </c>
      <c r="X161" s="4">
        <f t="shared" si="33"/>
        <v>8.4000000000000057</v>
      </c>
      <c r="Y161" s="4">
        <f t="shared" si="33"/>
        <v>8.2000000000000064</v>
      </c>
      <c r="Z161" s="4">
        <f t="shared" si="33"/>
        <v>8.0000000000000071</v>
      </c>
      <c r="AA161" s="4">
        <f t="shared" si="33"/>
        <v>7.8000000000000069</v>
      </c>
      <c r="AB161" s="4">
        <f t="shared" si="33"/>
        <v>7.6000000000000068</v>
      </c>
      <c r="AC161" s="4">
        <f t="shared" si="33"/>
        <v>7.4000000000000066</v>
      </c>
      <c r="AD161" s="4">
        <f t="shared" si="33"/>
        <v>7.2000000000000064</v>
      </c>
      <c r="AE161" s="4">
        <f t="shared" si="33"/>
        <v>7.0000000000000062</v>
      </c>
      <c r="AF161" s="4">
        <f t="shared" si="33"/>
        <v>6.800000000000006</v>
      </c>
      <c r="AG161" s="4">
        <f t="shared" si="33"/>
        <v>6.6000000000000059</v>
      </c>
      <c r="AH161" s="4">
        <f t="shared" si="33"/>
        <v>6.4000000000000057</v>
      </c>
      <c r="AI161" s="4">
        <f t="shared" si="33"/>
        <v>6.2000000000000055</v>
      </c>
      <c r="AJ161" s="4">
        <f t="shared" si="33"/>
        <v>6.0000000000000053</v>
      </c>
      <c r="AK161" s="4">
        <f t="shared" si="33"/>
        <v>5.8000000000000052</v>
      </c>
    </row>
    <row r="162" spans="3:37" outlineLevel="1" x14ac:dyDescent="0.25">
      <c r="C162" s="38">
        <v>13.3</v>
      </c>
      <c r="D162" s="4">
        <f t="shared" si="33"/>
        <v>13</v>
      </c>
      <c r="E162" s="4">
        <f t="shared" si="33"/>
        <v>12.7</v>
      </c>
      <c r="F162" s="4">
        <f t="shared" si="33"/>
        <v>12.399999999999999</v>
      </c>
      <c r="G162" s="4">
        <f t="shared" si="33"/>
        <v>12.099999999999998</v>
      </c>
      <c r="H162" s="4">
        <f t="shared" si="33"/>
        <v>11.799999999999997</v>
      </c>
      <c r="I162" s="4">
        <f t="shared" si="33"/>
        <v>11.499999999999996</v>
      </c>
      <c r="J162" s="4">
        <f t="shared" si="33"/>
        <v>11.199999999999996</v>
      </c>
      <c r="K162" s="4">
        <f t="shared" si="33"/>
        <v>10.999999999999996</v>
      </c>
      <c r="L162" s="4">
        <f t="shared" si="33"/>
        <v>10.799999999999997</v>
      </c>
      <c r="M162" s="4">
        <f t="shared" si="33"/>
        <v>10.599999999999998</v>
      </c>
      <c r="N162" s="4">
        <f t="shared" si="33"/>
        <v>10.399999999999999</v>
      </c>
      <c r="O162" s="4">
        <f t="shared" si="33"/>
        <v>10.199999999999999</v>
      </c>
      <c r="P162" s="4">
        <f t="shared" si="33"/>
        <v>10</v>
      </c>
      <c r="Q162" s="4">
        <f t="shared" si="33"/>
        <v>9.8000000000000007</v>
      </c>
      <c r="R162" s="4">
        <f t="shared" si="33"/>
        <v>9.6000000000000014</v>
      </c>
      <c r="S162" s="4">
        <f t="shared" si="33"/>
        <v>9.4000000000000021</v>
      </c>
      <c r="T162" s="4">
        <f t="shared" si="33"/>
        <v>9.2000000000000028</v>
      </c>
      <c r="U162" s="4">
        <f t="shared" si="33"/>
        <v>9.0000000000000036</v>
      </c>
      <c r="V162" s="4">
        <f t="shared" si="33"/>
        <v>8.8000000000000043</v>
      </c>
      <c r="W162" s="4">
        <f t="shared" si="33"/>
        <v>8.600000000000005</v>
      </c>
      <c r="X162" s="4">
        <f t="shared" si="33"/>
        <v>8.4000000000000057</v>
      </c>
      <c r="Y162" s="4">
        <f t="shared" si="33"/>
        <v>8.2000000000000064</v>
      </c>
      <c r="Z162" s="4">
        <f t="shared" si="33"/>
        <v>8.0000000000000071</v>
      </c>
      <c r="AA162" s="4">
        <f t="shared" si="33"/>
        <v>7.8000000000000069</v>
      </c>
      <c r="AB162" s="4">
        <f t="shared" si="33"/>
        <v>7.6000000000000068</v>
      </c>
      <c r="AC162" s="4">
        <f t="shared" si="33"/>
        <v>7.4000000000000066</v>
      </c>
      <c r="AD162" s="4">
        <f t="shared" si="33"/>
        <v>7.2000000000000064</v>
      </c>
      <c r="AE162" s="4">
        <f t="shared" si="33"/>
        <v>7.0000000000000062</v>
      </c>
      <c r="AF162" s="4">
        <f t="shared" si="33"/>
        <v>6.800000000000006</v>
      </c>
      <c r="AG162" s="4">
        <f t="shared" si="33"/>
        <v>6.6000000000000059</v>
      </c>
      <c r="AH162" s="4">
        <f t="shared" si="33"/>
        <v>6.4000000000000057</v>
      </c>
      <c r="AI162" s="4">
        <f t="shared" si="33"/>
        <v>6.2000000000000055</v>
      </c>
      <c r="AJ162" s="4">
        <f t="shared" si="33"/>
        <v>6.0000000000000053</v>
      </c>
      <c r="AK162" s="4">
        <f t="shared" si="33"/>
        <v>5.8000000000000052</v>
      </c>
    </row>
    <row r="163" spans="3:37" outlineLevel="1" x14ac:dyDescent="0.25">
      <c r="C163" s="38">
        <v>13.4</v>
      </c>
      <c r="D163" s="4">
        <f t="shared" si="33"/>
        <v>13.1</v>
      </c>
      <c r="E163" s="4">
        <f t="shared" si="33"/>
        <v>12.799999999999999</v>
      </c>
      <c r="F163" s="4">
        <f t="shared" si="33"/>
        <v>12.499999999999998</v>
      </c>
      <c r="G163" s="4">
        <f t="shared" si="33"/>
        <v>12.199999999999998</v>
      </c>
      <c r="H163" s="4">
        <f t="shared" si="33"/>
        <v>11.899999999999997</v>
      </c>
      <c r="I163" s="4">
        <f t="shared" si="33"/>
        <v>11.599999999999996</v>
      </c>
      <c r="J163" s="4">
        <f t="shared" si="33"/>
        <v>11.299999999999995</v>
      </c>
      <c r="K163" s="4">
        <f t="shared" si="33"/>
        <v>11.099999999999996</v>
      </c>
      <c r="L163" s="4">
        <f t="shared" si="33"/>
        <v>10.899999999999997</v>
      </c>
      <c r="M163" s="4">
        <f t="shared" si="33"/>
        <v>10.699999999999998</v>
      </c>
      <c r="N163" s="4">
        <f t="shared" si="33"/>
        <v>10.499999999999998</v>
      </c>
      <c r="O163" s="4">
        <f t="shared" si="33"/>
        <v>10.299999999999999</v>
      </c>
      <c r="P163" s="4">
        <f t="shared" si="33"/>
        <v>10.1</v>
      </c>
      <c r="Q163" s="4">
        <f t="shared" si="33"/>
        <v>9.9</v>
      </c>
      <c r="R163" s="4">
        <f t="shared" si="33"/>
        <v>9.7000000000000011</v>
      </c>
      <c r="S163" s="4">
        <f t="shared" si="33"/>
        <v>9.5000000000000018</v>
      </c>
      <c r="T163" s="4">
        <f t="shared" si="33"/>
        <v>9.3000000000000025</v>
      </c>
      <c r="U163" s="4">
        <f t="shared" si="33"/>
        <v>9.1000000000000032</v>
      </c>
      <c r="V163" s="4">
        <f t="shared" si="33"/>
        <v>8.9000000000000039</v>
      </c>
      <c r="W163" s="4">
        <f t="shared" si="33"/>
        <v>8.7000000000000046</v>
      </c>
      <c r="X163" s="4">
        <f t="shared" si="33"/>
        <v>8.5000000000000053</v>
      </c>
      <c r="Y163" s="4">
        <f t="shared" si="33"/>
        <v>8.300000000000006</v>
      </c>
      <c r="Z163" s="4">
        <f t="shared" si="33"/>
        <v>8.1000000000000068</v>
      </c>
      <c r="AA163" s="4">
        <f t="shared" si="33"/>
        <v>7.9000000000000066</v>
      </c>
      <c r="AB163" s="4">
        <f t="shared" si="33"/>
        <v>7.7000000000000064</v>
      </c>
      <c r="AC163" s="4">
        <f t="shared" si="33"/>
        <v>7.5000000000000062</v>
      </c>
      <c r="AD163" s="4">
        <f t="shared" si="33"/>
        <v>7.300000000000006</v>
      </c>
      <c r="AE163" s="4">
        <f t="shared" si="33"/>
        <v>7.1000000000000059</v>
      </c>
      <c r="AF163" s="4">
        <f t="shared" si="33"/>
        <v>6.9000000000000057</v>
      </c>
      <c r="AG163" s="4">
        <f t="shared" si="33"/>
        <v>6.7000000000000055</v>
      </c>
      <c r="AH163" s="4">
        <f t="shared" si="33"/>
        <v>6.5000000000000053</v>
      </c>
      <c r="AI163" s="4">
        <f t="shared" si="33"/>
        <v>6.3000000000000052</v>
      </c>
      <c r="AJ163" s="4">
        <f t="shared" si="33"/>
        <v>6.100000000000005</v>
      </c>
      <c r="AK163" s="4">
        <f t="shared" si="33"/>
        <v>5.9000000000000048</v>
      </c>
    </row>
    <row r="164" spans="3:37" outlineLevel="1" x14ac:dyDescent="0.25">
      <c r="C164" s="38">
        <v>13.5</v>
      </c>
      <c r="D164" s="4">
        <f t="shared" si="33"/>
        <v>13.2</v>
      </c>
      <c r="E164" s="4">
        <f t="shared" si="33"/>
        <v>12.899999999999999</v>
      </c>
      <c r="F164" s="4">
        <f t="shared" si="33"/>
        <v>12.599999999999998</v>
      </c>
      <c r="G164" s="4">
        <f t="shared" si="33"/>
        <v>12.299999999999997</v>
      </c>
      <c r="H164" s="4">
        <f t="shared" si="33"/>
        <v>11.999999999999996</v>
      </c>
      <c r="I164" s="4">
        <f t="shared" si="33"/>
        <v>11.699999999999996</v>
      </c>
      <c r="J164" s="4">
        <f t="shared" si="33"/>
        <v>11.399999999999995</v>
      </c>
      <c r="K164" s="4">
        <f t="shared" si="33"/>
        <v>11.199999999999996</v>
      </c>
      <c r="L164" s="4">
        <f t="shared" si="33"/>
        <v>10.999999999999996</v>
      </c>
      <c r="M164" s="4">
        <f t="shared" si="33"/>
        <v>10.799999999999997</v>
      </c>
      <c r="N164" s="4">
        <f t="shared" si="33"/>
        <v>10.599999999999998</v>
      </c>
      <c r="O164" s="4">
        <f t="shared" si="33"/>
        <v>10.399999999999999</v>
      </c>
      <c r="P164" s="4">
        <f t="shared" si="33"/>
        <v>10.199999999999999</v>
      </c>
      <c r="Q164" s="4">
        <f t="shared" si="33"/>
        <v>10</v>
      </c>
      <c r="R164" s="4">
        <f t="shared" si="33"/>
        <v>9.8000000000000007</v>
      </c>
      <c r="S164" s="4">
        <f t="shared" si="33"/>
        <v>9.6000000000000014</v>
      </c>
      <c r="T164" s="4">
        <f t="shared" si="33"/>
        <v>9.4000000000000021</v>
      </c>
      <c r="U164" s="4">
        <f t="shared" si="33"/>
        <v>9.2000000000000028</v>
      </c>
      <c r="V164" s="4">
        <f t="shared" si="33"/>
        <v>9.0000000000000036</v>
      </c>
      <c r="W164" s="4">
        <f t="shared" si="33"/>
        <v>8.8000000000000043</v>
      </c>
      <c r="X164" s="4">
        <f t="shared" si="33"/>
        <v>8.600000000000005</v>
      </c>
      <c r="Y164" s="4">
        <f t="shared" si="33"/>
        <v>8.4000000000000057</v>
      </c>
      <c r="Z164" s="4">
        <f t="shared" si="33"/>
        <v>8.2000000000000064</v>
      </c>
      <c r="AA164" s="4">
        <f t="shared" si="33"/>
        <v>8.0000000000000071</v>
      </c>
      <c r="AB164" s="4">
        <f t="shared" si="33"/>
        <v>7.8000000000000069</v>
      </c>
      <c r="AC164" s="4">
        <f t="shared" si="33"/>
        <v>7.6000000000000068</v>
      </c>
      <c r="AD164" s="4">
        <f t="shared" si="33"/>
        <v>7.4000000000000066</v>
      </c>
      <c r="AE164" s="4">
        <f t="shared" si="33"/>
        <v>7.2000000000000064</v>
      </c>
      <c r="AF164" s="4">
        <f t="shared" si="33"/>
        <v>7.0000000000000062</v>
      </c>
      <c r="AG164" s="4">
        <f t="shared" si="33"/>
        <v>6.800000000000006</v>
      </c>
      <c r="AH164" s="4">
        <f t="shared" si="33"/>
        <v>6.6000000000000059</v>
      </c>
      <c r="AI164" s="4">
        <f t="shared" si="33"/>
        <v>6.4000000000000057</v>
      </c>
      <c r="AJ164" s="4">
        <f t="shared" si="33"/>
        <v>6.2000000000000055</v>
      </c>
      <c r="AK164" s="4">
        <f t="shared" si="33"/>
        <v>6.0000000000000053</v>
      </c>
    </row>
    <row r="165" spans="3:37" outlineLevel="1" x14ac:dyDescent="0.25">
      <c r="C165" s="38">
        <v>13.6</v>
      </c>
      <c r="D165" s="4">
        <f t="shared" si="33"/>
        <v>13.299999999999999</v>
      </c>
      <c r="E165" s="4">
        <f t="shared" si="33"/>
        <v>12.999999999999998</v>
      </c>
      <c r="F165" s="4">
        <f t="shared" si="33"/>
        <v>12.699999999999998</v>
      </c>
      <c r="G165" s="4">
        <f t="shared" si="33"/>
        <v>12.399999999999997</v>
      </c>
      <c r="H165" s="4">
        <f t="shared" si="33"/>
        <v>12.099999999999996</v>
      </c>
      <c r="I165" s="4">
        <f t="shared" si="33"/>
        <v>11.799999999999995</v>
      </c>
      <c r="J165" s="4">
        <f t="shared" si="33"/>
        <v>11.499999999999995</v>
      </c>
      <c r="K165" s="4">
        <f t="shared" si="33"/>
        <v>11.199999999999994</v>
      </c>
      <c r="L165" s="4">
        <f t="shared" si="33"/>
        <v>10.999999999999995</v>
      </c>
      <c r="M165" s="4">
        <f t="shared" si="33"/>
        <v>10.799999999999995</v>
      </c>
      <c r="N165" s="4">
        <f t="shared" si="33"/>
        <v>10.599999999999996</v>
      </c>
      <c r="O165" s="4">
        <f t="shared" si="33"/>
        <v>10.399999999999997</v>
      </c>
      <c r="P165" s="4">
        <f t="shared" si="33"/>
        <v>10.199999999999998</v>
      </c>
      <c r="Q165" s="4">
        <f t="shared" si="33"/>
        <v>9.9999999999999982</v>
      </c>
      <c r="R165" s="4">
        <f t="shared" si="33"/>
        <v>9.7999999999999989</v>
      </c>
      <c r="S165" s="4">
        <f t="shared" si="33"/>
        <v>9.6</v>
      </c>
      <c r="T165" s="4">
        <f t="shared" si="33"/>
        <v>9.4</v>
      </c>
      <c r="U165" s="4">
        <f t="shared" si="33"/>
        <v>9.2000000000000011</v>
      </c>
      <c r="V165" s="4">
        <f t="shared" si="33"/>
        <v>9.0000000000000018</v>
      </c>
      <c r="W165" s="4">
        <f t="shared" si="33"/>
        <v>8.8000000000000025</v>
      </c>
      <c r="X165" s="4">
        <f t="shared" si="33"/>
        <v>8.6000000000000032</v>
      </c>
      <c r="Y165" s="4">
        <f t="shared" si="33"/>
        <v>8.4000000000000039</v>
      </c>
      <c r="Z165" s="4">
        <f t="shared" si="33"/>
        <v>8.2000000000000046</v>
      </c>
      <c r="AA165" s="4">
        <f t="shared" si="33"/>
        <v>8.0000000000000053</v>
      </c>
      <c r="AB165" s="4">
        <f t="shared" si="33"/>
        <v>7.8000000000000052</v>
      </c>
      <c r="AC165" s="4">
        <f t="shared" si="33"/>
        <v>7.600000000000005</v>
      </c>
      <c r="AD165" s="4">
        <f t="shared" si="33"/>
        <v>7.4000000000000048</v>
      </c>
      <c r="AE165" s="4">
        <f t="shared" si="33"/>
        <v>7.2000000000000046</v>
      </c>
      <c r="AF165" s="4">
        <f t="shared" si="33"/>
        <v>7.0000000000000044</v>
      </c>
      <c r="AG165" s="4">
        <f t="shared" si="33"/>
        <v>6.8000000000000043</v>
      </c>
      <c r="AH165" s="4">
        <f t="shared" si="33"/>
        <v>6.6000000000000041</v>
      </c>
      <c r="AI165" s="4">
        <f t="shared" si="33"/>
        <v>6.4000000000000039</v>
      </c>
      <c r="AJ165" s="4">
        <f t="shared" si="33"/>
        <v>6.2000000000000037</v>
      </c>
      <c r="AK165" s="4">
        <f t="shared" si="33"/>
        <v>6.0000000000000036</v>
      </c>
    </row>
    <row r="166" spans="3:37" outlineLevel="1" x14ac:dyDescent="0.25">
      <c r="C166" s="38">
        <v>13.7</v>
      </c>
      <c r="D166" s="4">
        <f t="shared" si="33"/>
        <v>13.399999999999999</v>
      </c>
      <c r="E166" s="4">
        <f t="shared" si="33"/>
        <v>13.099999999999998</v>
      </c>
      <c r="F166" s="4">
        <f t="shared" si="33"/>
        <v>12.799999999999997</v>
      </c>
      <c r="G166" s="4">
        <f t="shared" si="33"/>
        <v>12.499999999999996</v>
      </c>
      <c r="H166" s="4">
        <f t="shared" si="33"/>
        <v>12.199999999999996</v>
      </c>
      <c r="I166" s="4">
        <f t="shared" si="33"/>
        <v>11.899999999999995</v>
      </c>
      <c r="J166" s="4">
        <f t="shared" si="33"/>
        <v>11.599999999999994</v>
      </c>
      <c r="K166" s="4">
        <f t="shared" si="33"/>
        <v>11.299999999999994</v>
      </c>
      <c r="L166" s="4">
        <f t="shared" si="33"/>
        <v>11.099999999999994</v>
      </c>
      <c r="M166" s="4">
        <f t="shared" si="33"/>
        <v>10.899999999999995</v>
      </c>
      <c r="N166" s="4">
        <f t="shared" si="33"/>
        <v>10.699999999999996</v>
      </c>
      <c r="O166" s="4">
        <f t="shared" si="33"/>
        <v>10.499999999999996</v>
      </c>
      <c r="P166" s="4">
        <f t="shared" si="33"/>
        <v>10.299999999999997</v>
      </c>
      <c r="Q166" s="4">
        <f t="shared" si="33"/>
        <v>10.099999999999998</v>
      </c>
      <c r="R166" s="4">
        <f t="shared" si="33"/>
        <v>9.8999999999999986</v>
      </c>
      <c r="S166" s="4">
        <f t="shared" si="33"/>
        <v>9.6999999999999993</v>
      </c>
      <c r="T166" s="4">
        <f t="shared" si="33"/>
        <v>9.5</v>
      </c>
      <c r="U166" s="4">
        <f t="shared" si="33"/>
        <v>9.3000000000000007</v>
      </c>
      <c r="V166" s="4">
        <f t="shared" si="33"/>
        <v>9.1000000000000014</v>
      </c>
      <c r="W166" s="4">
        <f t="shared" si="33"/>
        <v>8.9000000000000021</v>
      </c>
      <c r="X166" s="4">
        <f t="shared" si="33"/>
        <v>8.7000000000000028</v>
      </c>
      <c r="Y166" s="4">
        <f t="shared" si="33"/>
        <v>8.5000000000000036</v>
      </c>
      <c r="Z166" s="4">
        <f t="shared" si="33"/>
        <v>8.3000000000000043</v>
      </c>
      <c r="AA166" s="4">
        <f t="shared" si="33"/>
        <v>8.100000000000005</v>
      </c>
      <c r="AB166" s="4">
        <f t="shared" si="33"/>
        <v>7.9000000000000048</v>
      </c>
      <c r="AC166" s="4">
        <f t="shared" si="33"/>
        <v>7.7000000000000046</v>
      </c>
      <c r="AD166" s="4">
        <f t="shared" si="33"/>
        <v>7.5000000000000044</v>
      </c>
      <c r="AE166" s="4">
        <f t="shared" si="33"/>
        <v>7.3000000000000043</v>
      </c>
      <c r="AF166" s="4">
        <f t="shared" si="33"/>
        <v>7.1000000000000041</v>
      </c>
      <c r="AG166" s="4">
        <f t="shared" si="33"/>
        <v>6.9000000000000039</v>
      </c>
      <c r="AH166" s="4">
        <f t="shared" si="33"/>
        <v>6.7000000000000037</v>
      </c>
      <c r="AI166" s="4">
        <f t="shared" si="33"/>
        <v>6.5000000000000036</v>
      </c>
      <c r="AJ166" s="4">
        <f t="shared" si="33"/>
        <v>6.3000000000000034</v>
      </c>
      <c r="AK166" s="4">
        <f t="shared" si="33"/>
        <v>6.1000000000000032</v>
      </c>
    </row>
    <row r="167" spans="3:37" outlineLevel="1" x14ac:dyDescent="0.25">
      <c r="C167" s="38">
        <v>13.8</v>
      </c>
      <c r="D167" s="4">
        <f t="shared" si="33"/>
        <v>13.5</v>
      </c>
      <c r="E167" s="4">
        <f t="shared" si="33"/>
        <v>13.2</v>
      </c>
      <c r="F167" s="4">
        <f t="shared" si="33"/>
        <v>12.899999999999999</v>
      </c>
      <c r="G167" s="4">
        <f t="shared" si="33"/>
        <v>12.599999999999998</v>
      </c>
      <c r="H167" s="4">
        <f t="shared" si="33"/>
        <v>12.299999999999997</v>
      </c>
      <c r="I167" s="4">
        <f t="shared" si="33"/>
        <v>11.999999999999996</v>
      </c>
      <c r="J167" s="4">
        <f t="shared" si="33"/>
        <v>11.699999999999996</v>
      </c>
      <c r="K167" s="4">
        <f t="shared" si="33"/>
        <v>11.399999999999995</v>
      </c>
      <c r="L167" s="4">
        <f t="shared" si="33"/>
        <v>11.199999999999996</v>
      </c>
      <c r="M167" s="4">
        <f t="shared" si="33"/>
        <v>10.999999999999996</v>
      </c>
      <c r="N167" s="4">
        <f t="shared" si="33"/>
        <v>10.799999999999997</v>
      </c>
      <c r="O167" s="4">
        <f t="shared" si="33"/>
        <v>10.599999999999998</v>
      </c>
      <c r="P167" s="4">
        <f t="shared" si="33"/>
        <v>10.399999999999999</v>
      </c>
      <c r="Q167" s="4">
        <f t="shared" si="33"/>
        <v>10.199999999999999</v>
      </c>
      <c r="R167" s="4">
        <f t="shared" si="33"/>
        <v>10</v>
      </c>
      <c r="S167" s="4">
        <f t="shared" si="33"/>
        <v>9.8000000000000007</v>
      </c>
      <c r="T167" s="4">
        <f t="shared" si="33"/>
        <v>9.6000000000000014</v>
      </c>
      <c r="U167" s="4">
        <f t="shared" si="33"/>
        <v>9.4000000000000021</v>
      </c>
      <c r="V167" s="4">
        <f t="shared" si="33"/>
        <v>9.2000000000000028</v>
      </c>
      <c r="W167" s="4">
        <f t="shared" si="33"/>
        <v>9.0000000000000036</v>
      </c>
      <c r="X167" s="4">
        <f t="shared" si="33"/>
        <v>8.8000000000000043</v>
      </c>
      <c r="Y167" s="4">
        <f t="shared" si="33"/>
        <v>8.600000000000005</v>
      </c>
      <c r="Z167" s="4">
        <f t="shared" si="33"/>
        <v>8.4000000000000057</v>
      </c>
      <c r="AA167" s="4">
        <f t="shared" si="33"/>
        <v>8.2000000000000064</v>
      </c>
      <c r="AB167" s="4">
        <f t="shared" si="33"/>
        <v>8.0000000000000071</v>
      </c>
      <c r="AC167" s="4">
        <f t="shared" si="33"/>
        <v>7.8000000000000069</v>
      </c>
      <c r="AD167" s="4">
        <f t="shared" si="33"/>
        <v>7.6000000000000068</v>
      </c>
      <c r="AE167" s="4">
        <f t="shared" si="33"/>
        <v>7.4000000000000066</v>
      </c>
      <c r="AF167" s="4">
        <f t="shared" si="33"/>
        <v>7.2000000000000064</v>
      </c>
      <c r="AG167" s="4">
        <f t="shared" si="33"/>
        <v>7.0000000000000062</v>
      </c>
      <c r="AH167" s="4">
        <f t="shared" si="33"/>
        <v>6.800000000000006</v>
      </c>
      <c r="AI167" s="4">
        <f t="shared" si="33"/>
        <v>6.6000000000000059</v>
      </c>
      <c r="AJ167" s="4">
        <f t="shared" si="33"/>
        <v>6.4000000000000057</v>
      </c>
      <c r="AK167" s="4">
        <f t="shared" si="33"/>
        <v>6.2000000000000055</v>
      </c>
    </row>
    <row r="168" spans="3:37" outlineLevel="1" x14ac:dyDescent="0.25">
      <c r="C168" s="38">
        <v>13.9</v>
      </c>
      <c r="D168" s="4">
        <f t="shared" si="33"/>
        <v>13.6</v>
      </c>
      <c r="E168" s="4">
        <f t="shared" si="33"/>
        <v>13.299999999999999</v>
      </c>
      <c r="F168" s="4">
        <f t="shared" si="33"/>
        <v>12.999999999999998</v>
      </c>
      <c r="G168" s="4">
        <f t="shared" si="33"/>
        <v>12.699999999999998</v>
      </c>
      <c r="H168" s="4">
        <f t="shared" si="33"/>
        <v>12.399999999999997</v>
      </c>
      <c r="I168" s="4">
        <f t="shared" si="33"/>
        <v>12.099999999999996</v>
      </c>
      <c r="J168" s="4">
        <f t="shared" si="33"/>
        <v>11.799999999999995</v>
      </c>
      <c r="K168" s="4">
        <f t="shared" si="33"/>
        <v>11.499999999999995</v>
      </c>
      <c r="L168" s="4">
        <f t="shared" si="33"/>
        <v>11.199999999999994</v>
      </c>
      <c r="M168" s="4">
        <f t="shared" si="33"/>
        <v>10.999999999999995</v>
      </c>
      <c r="N168" s="4">
        <f t="shared" si="33"/>
        <v>10.799999999999995</v>
      </c>
      <c r="O168" s="4">
        <f t="shared" si="33"/>
        <v>10.599999999999996</v>
      </c>
      <c r="P168" s="4">
        <f t="shared" si="33"/>
        <v>10.399999999999997</v>
      </c>
      <c r="Q168" s="4">
        <f t="shared" si="33"/>
        <v>10.199999999999998</v>
      </c>
      <c r="R168" s="4">
        <f t="shared" si="33"/>
        <v>9.9999999999999982</v>
      </c>
      <c r="S168" s="4">
        <f t="shared" si="33"/>
        <v>9.7999999999999989</v>
      </c>
      <c r="T168" s="4">
        <f t="shared" si="33"/>
        <v>9.6</v>
      </c>
      <c r="U168" s="4">
        <f t="shared" ref="U168:AK168" si="34">(IF(T168&lt;=4.4,T168-$E$6,IF(AND(T168&gt;=4.5,T168&lt;=11.4),T168-$E$7,IF(AND(T168&gt;=11.5,T168&lt;=18.4),T168-$E$8,IF(AND(T168&gt;=18.5,T168&lt;=26.4),T168-$E$9,IF(AND(T168&gt;=26.4,T168&lt;=36),T168-$E$10,IF(T168&gt;=37,T168-$E$11)))))))</f>
        <v>9.4</v>
      </c>
      <c r="V168" s="4">
        <f t="shared" si="34"/>
        <v>9.2000000000000011</v>
      </c>
      <c r="W168" s="4">
        <f t="shared" si="34"/>
        <v>9.0000000000000018</v>
      </c>
      <c r="X168" s="4">
        <f t="shared" si="34"/>
        <v>8.8000000000000025</v>
      </c>
      <c r="Y168" s="4">
        <f t="shared" si="34"/>
        <v>8.6000000000000032</v>
      </c>
      <c r="Z168" s="4">
        <f t="shared" si="34"/>
        <v>8.4000000000000039</v>
      </c>
      <c r="AA168" s="4">
        <f t="shared" si="34"/>
        <v>8.2000000000000046</v>
      </c>
      <c r="AB168" s="4">
        <f t="shared" si="34"/>
        <v>8.0000000000000053</v>
      </c>
      <c r="AC168" s="4">
        <f t="shared" si="34"/>
        <v>7.8000000000000052</v>
      </c>
      <c r="AD168" s="4">
        <f t="shared" si="34"/>
        <v>7.600000000000005</v>
      </c>
      <c r="AE168" s="4">
        <f t="shared" si="34"/>
        <v>7.4000000000000048</v>
      </c>
      <c r="AF168" s="4">
        <f t="shared" si="34"/>
        <v>7.2000000000000046</v>
      </c>
      <c r="AG168" s="4">
        <f t="shared" si="34"/>
        <v>7.0000000000000044</v>
      </c>
      <c r="AH168" s="4">
        <f t="shared" si="34"/>
        <v>6.8000000000000043</v>
      </c>
      <c r="AI168" s="4">
        <f t="shared" si="34"/>
        <v>6.6000000000000041</v>
      </c>
      <c r="AJ168" s="4">
        <f t="shared" si="34"/>
        <v>6.4000000000000039</v>
      </c>
      <c r="AK168" s="4">
        <f t="shared" si="34"/>
        <v>6.2000000000000037</v>
      </c>
    </row>
    <row r="169" spans="3:37" outlineLevel="1" x14ac:dyDescent="0.25">
      <c r="C169" s="38">
        <v>14</v>
      </c>
      <c r="D169" s="4">
        <f t="shared" ref="D169:AK176" si="35">(IF(C169&lt;=4.4,C169-$E$6,IF(AND(C169&gt;=4.5,C169&lt;=11.4),C169-$E$7,IF(AND(C169&gt;=11.5,C169&lt;=18.4),C169-$E$8,IF(AND(C169&gt;=18.5,C169&lt;=26.4),C169-$E$9,IF(AND(C169&gt;=26.4,C169&lt;=36),C169-$E$10,IF(C169&gt;=37,C169-$E$11)))))))</f>
        <v>13.7</v>
      </c>
      <c r="E169" s="4">
        <f t="shared" si="35"/>
        <v>13.399999999999999</v>
      </c>
      <c r="F169" s="4">
        <f t="shared" si="35"/>
        <v>13.099999999999998</v>
      </c>
      <c r="G169" s="4">
        <f t="shared" si="35"/>
        <v>12.799999999999997</v>
      </c>
      <c r="H169" s="4">
        <f t="shared" si="35"/>
        <v>12.499999999999996</v>
      </c>
      <c r="I169" s="4">
        <f t="shared" si="35"/>
        <v>12.199999999999996</v>
      </c>
      <c r="J169" s="4">
        <f t="shared" si="35"/>
        <v>11.899999999999995</v>
      </c>
      <c r="K169" s="4">
        <f t="shared" si="35"/>
        <v>11.599999999999994</v>
      </c>
      <c r="L169" s="4">
        <f t="shared" si="35"/>
        <v>11.299999999999994</v>
      </c>
      <c r="M169" s="4">
        <f t="shared" si="35"/>
        <v>11.099999999999994</v>
      </c>
      <c r="N169" s="4">
        <f t="shared" si="35"/>
        <v>10.899999999999995</v>
      </c>
      <c r="O169" s="4">
        <f t="shared" si="35"/>
        <v>10.699999999999996</v>
      </c>
      <c r="P169" s="4">
        <f t="shared" si="35"/>
        <v>10.499999999999996</v>
      </c>
      <c r="Q169" s="4">
        <f t="shared" si="35"/>
        <v>10.299999999999997</v>
      </c>
      <c r="R169" s="4">
        <f t="shared" si="35"/>
        <v>10.099999999999998</v>
      </c>
      <c r="S169" s="4">
        <f t="shared" si="35"/>
        <v>9.8999999999999986</v>
      </c>
      <c r="T169" s="4">
        <f t="shared" si="35"/>
        <v>9.6999999999999993</v>
      </c>
      <c r="U169" s="4">
        <f t="shared" si="35"/>
        <v>9.5</v>
      </c>
      <c r="V169" s="4">
        <f t="shared" si="35"/>
        <v>9.3000000000000007</v>
      </c>
      <c r="W169" s="4">
        <f t="shared" si="35"/>
        <v>9.1000000000000014</v>
      </c>
      <c r="X169" s="4">
        <f t="shared" si="35"/>
        <v>8.9000000000000021</v>
      </c>
      <c r="Y169" s="4">
        <f t="shared" si="35"/>
        <v>8.7000000000000028</v>
      </c>
      <c r="Z169" s="4">
        <f t="shared" si="35"/>
        <v>8.5000000000000036</v>
      </c>
      <c r="AA169" s="4">
        <f t="shared" si="35"/>
        <v>8.3000000000000043</v>
      </c>
      <c r="AB169" s="4">
        <f t="shared" si="35"/>
        <v>8.100000000000005</v>
      </c>
      <c r="AC169" s="4">
        <f t="shared" si="35"/>
        <v>7.9000000000000048</v>
      </c>
      <c r="AD169" s="4">
        <f t="shared" si="35"/>
        <v>7.7000000000000046</v>
      </c>
      <c r="AE169" s="4">
        <f t="shared" si="35"/>
        <v>7.5000000000000044</v>
      </c>
      <c r="AF169" s="4">
        <f t="shared" si="35"/>
        <v>7.3000000000000043</v>
      </c>
      <c r="AG169" s="4">
        <f t="shared" si="35"/>
        <v>7.1000000000000041</v>
      </c>
      <c r="AH169" s="4">
        <f t="shared" si="35"/>
        <v>6.9000000000000039</v>
      </c>
      <c r="AI169" s="4">
        <f t="shared" si="35"/>
        <v>6.7000000000000037</v>
      </c>
      <c r="AJ169" s="4">
        <f t="shared" si="35"/>
        <v>6.5000000000000036</v>
      </c>
      <c r="AK169" s="4">
        <f t="shared" si="35"/>
        <v>6.3000000000000034</v>
      </c>
    </row>
    <row r="170" spans="3:37" outlineLevel="1" x14ac:dyDescent="0.25">
      <c r="C170" s="38">
        <v>14.1</v>
      </c>
      <c r="D170" s="4">
        <f t="shared" si="35"/>
        <v>13.799999999999999</v>
      </c>
      <c r="E170" s="4">
        <f t="shared" si="35"/>
        <v>13.499999999999998</v>
      </c>
      <c r="F170" s="4">
        <f t="shared" si="35"/>
        <v>13.199999999999998</v>
      </c>
      <c r="G170" s="4">
        <f t="shared" si="35"/>
        <v>12.899999999999997</v>
      </c>
      <c r="H170" s="4">
        <f t="shared" si="35"/>
        <v>12.599999999999996</v>
      </c>
      <c r="I170" s="4">
        <f t="shared" si="35"/>
        <v>12.299999999999995</v>
      </c>
      <c r="J170" s="4">
        <f t="shared" si="35"/>
        <v>11.999999999999995</v>
      </c>
      <c r="K170" s="4">
        <f t="shared" si="35"/>
        <v>11.699999999999994</v>
      </c>
      <c r="L170" s="4">
        <f t="shared" si="35"/>
        <v>11.399999999999993</v>
      </c>
      <c r="M170" s="4">
        <f t="shared" si="35"/>
        <v>11.199999999999994</v>
      </c>
      <c r="N170" s="4">
        <f t="shared" si="35"/>
        <v>10.999999999999995</v>
      </c>
      <c r="O170" s="4">
        <f t="shared" si="35"/>
        <v>10.799999999999995</v>
      </c>
      <c r="P170" s="4">
        <f t="shared" si="35"/>
        <v>10.599999999999996</v>
      </c>
      <c r="Q170" s="4">
        <f t="shared" si="35"/>
        <v>10.399999999999997</v>
      </c>
      <c r="R170" s="4">
        <f t="shared" si="35"/>
        <v>10.199999999999998</v>
      </c>
      <c r="S170" s="4">
        <f t="shared" si="35"/>
        <v>9.9999999999999982</v>
      </c>
      <c r="T170" s="4">
        <f t="shared" si="35"/>
        <v>9.7999999999999989</v>
      </c>
      <c r="U170" s="4">
        <f t="shared" si="35"/>
        <v>9.6</v>
      </c>
      <c r="V170" s="4">
        <f t="shared" si="35"/>
        <v>9.4</v>
      </c>
      <c r="W170" s="4">
        <f t="shared" si="35"/>
        <v>9.2000000000000011</v>
      </c>
      <c r="X170" s="4">
        <f t="shared" si="35"/>
        <v>9.0000000000000018</v>
      </c>
      <c r="Y170" s="4">
        <f t="shared" si="35"/>
        <v>8.8000000000000025</v>
      </c>
      <c r="Z170" s="4">
        <f t="shared" si="35"/>
        <v>8.6000000000000032</v>
      </c>
      <c r="AA170" s="4">
        <f t="shared" si="35"/>
        <v>8.4000000000000039</v>
      </c>
      <c r="AB170" s="4">
        <f t="shared" si="35"/>
        <v>8.2000000000000046</v>
      </c>
      <c r="AC170" s="4">
        <f t="shared" si="35"/>
        <v>8.0000000000000053</v>
      </c>
      <c r="AD170" s="4">
        <f t="shared" si="35"/>
        <v>7.8000000000000052</v>
      </c>
      <c r="AE170" s="4">
        <f t="shared" si="35"/>
        <v>7.600000000000005</v>
      </c>
      <c r="AF170" s="4">
        <f t="shared" si="35"/>
        <v>7.4000000000000048</v>
      </c>
      <c r="AG170" s="4">
        <f t="shared" si="35"/>
        <v>7.2000000000000046</v>
      </c>
      <c r="AH170" s="4">
        <f t="shared" si="35"/>
        <v>7.0000000000000044</v>
      </c>
      <c r="AI170" s="4">
        <f t="shared" si="35"/>
        <v>6.8000000000000043</v>
      </c>
      <c r="AJ170" s="4">
        <f t="shared" si="35"/>
        <v>6.6000000000000041</v>
      </c>
      <c r="AK170" s="4">
        <f t="shared" si="35"/>
        <v>6.4000000000000039</v>
      </c>
    </row>
    <row r="171" spans="3:37" outlineLevel="1" x14ac:dyDescent="0.25">
      <c r="C171" s="38">
        <v>14.2</v>
      </c>
      <c r="D171" s="4">
        <f t="shared" si="35"/>
        <v>13.899999999999999</v>
      </c>
      <c r="E171" s="4">
        <f t="shared" si="35"/>
        <v>13.599999999999998</v>
      </c>
      <c r="F171" s="4">
        <f t="shared" si="35"/>
        <v>13.299999999999997</v>
      </c>
      <c r="G171" s="4">
        <f t="shared" si="35"/>
        <v>12.999999999999996</v>
      </c>
      <c r="H171" s="4">
        <f t="shared" si="35"/>
        <v>12.699999999999996</v>
      </c>
      <c r="I171" s="4">
        <f t="shared" si="35"/>
        <v>12.399999999999995</v>
      </c>
      <c r="J171" s="4">
        <f t="shared" si="35"/>
        <v>12.099999999999994</v>
      </c>
      <c r="K171" s="4">
        <f t="shared" si="35"/>
        <v>11.799999999999994</v>
      </c>
      <c r="L171" s="4">
        <f t="shared" si="35"/>
        <v>11.499999999999993</v>
      </c>
      <c r="M171" s="4">
        <f t="shared" si="35"/>
        <v>11.199999999999992</v>
      </c>
      <c r="N171" s="4">
        <f t="shared" si="35"/>
        <v>10.999999999999993</v>
      </c>
      <c r="O171" s="4">
        <f t="shared" si="35"/>
        <v>10.799999999999994</v>
      </c>
      <c r="P171" s="4">
        <f t="shared" si="35"/>
        <v>10.599999999999994</v>
      </c>
      <c r="Q171" s="4">
        <f t="shared" si="35"/>
        <v>10.399999999999995</v>
      </c>
      <c r="R171" s="4">
        <f t="shared" si="35"/>
        <v>10.199999999999996</v>
      </c>
      <c r="S171" s="4">
        <f t="shared" si="35"/>
        <v>9.9999999999999964</v>
      </c>
      <c r="T171" s="4">
        <f t="shared" si="35"/>
        <v>9.7999999999999972</v>
      </c>
      <c r="U171" s="4">
        <f t="shared" si="35"/>
        <v>9.5999999999999979</v>
      </c>
      <c r="V171" s="4">
        <f t="shared" si="35"/>
        <v>9.3999999999999986</v>
      </c>
      <c r="W171" s="4">
        <f t="shared" si="35"/>
        <v>9.1999999999999993</v>
      </c>
      <c r="X171" s="4">
        <f t="shared" si="35"/>
        <v>9</v>
      </c>
      <c r="Y171" s="4">
        <f t="shared" si="35"/>
        <v>8.8000000000000007</v>
      </c>
      <c r="Z171" s="4">
        <f t="shared" si="35"/>
        <v>8.6000000000000014</v>
      </c>
      <c r="AA171" s="4">
        <f t="shared" si="35"/>
        <v>8.4000000000000021</v>
      </c>
      <c r="AB171" s="4">
        <f t="shared" si="35"/>
        <v>8.2000000000000028</v>
      </c>
      <c r="AC171" s="4">
        <f t="shared" si="35"/>
        <v>8.0000000000000036</v>
      </c>
      <c r="AD171" s="4">
        <f t="shared" si="35"/>
        <v>7.8000000000000034</v>
      </c>
      <c r="AE171" s="4">
        <f t="shared" si="35"/>
        <v>7.6000000000000032</v>
      </c>
      <c r="AF171" s="4">
        <f t="shared" si="35"/>
        <v>7.400000000000003</v>
      </c>
      <c r="AG171" s="4">
        <f t="shared" si="35"/>
        <v>7.2000000000000028</v>
      </c>
      <c r="AH171" s="4">
        <f t="shared" si="35"/>
        <v>7.0000000000000027</v>
      </c>
      <c r="AI171" s="4">
        <f t="shared" si="35"/>
        <v>6.8000000000000025</v>
      </c>
      <c r="AJ171" s="4">
        <f t="shared" si="35"/>
        <v>6.6000000000000023</v>
      </c>
      <c r="AK171" s="4">
        <f t="shared" si="35"/>
        <v>6.4000000000000021</v>
      </c>
    </row>
    <row r="172" spans="3:37" outlineLevel="1" x14ac:dyDescent="0.25">
      <c r="C172" s="38">
        <v>14.3</v>
      </c>
      <c r="D172" s="4">
        <f t="shared" si="35"/>
        <v>14</v>
      </c>
      <c r="E172" s="4">
        <f t="shared" si="35"/>
        <v>13.7</v>
      </c>
      <c r="F172" s="4">
        <f t="shared" si="35"/>
        <v>13.399999999999999</v>
      </c>
      <c r="G172" s="4">
        <f t="shared" si="35"/>
        <v>13.099999999999998</v>
      </c>
      <c r="H172" s="4">
        <f t="shared" si="35"/>
        <v>12.799999999999997</v>
      </c>
      <c r="I172" s="4">
        <f t="shared" si="35"/>
        <v>12.499999999999996</v>
      </c>
      <c r="J172" s="4">
        <f t="shared" si="35"/>
        <v>12.199999999999996</v>
      </c>
      <c r="K172" s="4">
        <f t="shared" si="35"/>
        <v>11.899999999999995</v>
      </c>
      <c r="L172" s="4">
        <f t="shared" si="35"/>
        <v>11.599999999999994</v>
      </c>
      <c r="M172" s="4">
        <f t="shared" si="35"/>
        <v>11.299999999999994</v>
      </c>
      <c r="N172" s="4">
        <f t="shared" si="35"/>
        <v>11.099999999999994</v>
      </c>
      <c r="O172" s="4">
        <f t="shared" si="35"/>
        <v>10.899999999999995</v>
      </c>
      <c r="P172" s="4">
        <f t="shared" si="35"/>
        <v>10.699999999999996</v>
      </c>
      <c r="Q172" s="4">
        <f t="shared" si="35"/>
        <v>10.499999999999996</v>
      </c>
      <c r="R172" s="4">
        <f t="shared" si="35"/>
        <v>10.299999999999997</v>
      </c>
      <c r="S172" s="4">
        <f t="shared" si="35"/>
        <v>10.099999999999998</v>
      </c>
      <c r="T172" s="4">
        <f t="shared" si="35"/>
        <v>9.8999999999999986</v>
      </c>
      <c r="U172" s="4">
        <f t="shared" si="35"/>
        <v>9.6999999999999993</v>
      </c>
      <c r="V172" s="4">
        <f t="shared" si="35"/>
        <v>9.5</v>
      </c>
      <c r="W172" s="4">
        <f t="shared" si="35"/>
        <v>9.3000000000000007</v>
      </c>
      <c r="X172" s="4">
        <f t="shared" si="35"/>
        <v>9.1000000000000014</v>
      </c>
      <c r="Y172" s="4">
        <f t="shared" si="35"/>
        <v>8.9000000000000021</v>
      </c>
      <c r="Z172" s="4">
        <f t="shared" si="35"/>
        <v>8.7000000000000028</v>
      </c>
      <c r="AA172" s="4">
        <f t="shared" si="35"/>
        <v>8.5000000000000036</v>
      </c>
      <c r="AB172" s="4">
        <f t="shared" si="35"/>
        <v>8.3000000000000043</v>
      </c>
      <c r="AC172" s="4">
        <f t="shared" si="35"/>
        <v>8.100000000000005</v>
      </c>
      <c r="AD172" s="4">
        <f t="shared" si="35"/>
        <v>7.9000000000000048</v>
      </c>
      <c r="AE172" s="4">
        <f t="shared" si="35"/>
        <v>7.7000000000000046</v>
      </c>
      <c r="AF172" s="4">
        <f t="shared" si="35"/>
        <v>7.5000000000000044</v>
      </c>
      <c r="AG172" s="4">
        <f t="shared" si="35"/>
        <v>7.3000000000000043</v>
      </c>
      <c r="AH172" s="4">
        <f t="shared" si="35"/>
        <v>7.1000000000000041</v>
      </c>
      <c r="AI172" s="4">
        <f t="shared" si="35"/>
        <v>6.9000000000000039</v>
      </c>
      <c r="AJ172" s="4">
        <f t="shared" si="35"/>
        <v>6.7000000000000037</v>
      </c>
      <c r="AK172" s="4">
        <f t="shared" si="35"/>
        <v>6.5000000000000036</v>
      </c>
    </row>
    <row r="173" spans="3:37" outlineLevel="1" x14ac:dyDescent="0.25">
      <c r="C173" s="38">
        <v>14.4</v>
      </c>
      <c r="D173" s="4">
        <f t="shared" si="35"/>
        <v>14.1</v>
      </c>
      <c r="E173" s="4">
        <f t="shared" si="35"/>
        <v>13.799999999999999</v>
      </c>
      <c r="F173" s="4">
        <f t="shared" si="35"/>
        <v>13.499999999999998</v>
      </c>
      <c r="G173" s="4">
        <f t="shared" si="35"/>
        <v>13.199999999999998</v>
      </c>
      <c r="H173" s="4">
        <f t="shared" si="35"/>
        <v>12.899999999999997</v>
      </c>
      <c r="I173" s="4">
        <f t="shared" si="35"/>
        <v>12.599999999999996</v>
      </c>
      <c r="J173" s="4">
        <f t="shared" si="35"/>
        <v>12.299999999999995</v>
      </c>
      <c r="K173" s="4">
        <f t="shared" si="35"/>
        <v>11.999999999999995</v>
      </c>
      <c r="L173" s="4">
        <f t="shared" si="35"/>
        <v>11.699999999999994</v>
      </c>
      <c r="M173" s="4">
        <f t="shared" si="35"/>
        <v>11.399999999999993</v>
      </c>
      <c r="N173" s="4">
        <f t="shared" si="35"/>
        <v>11.199999999999994</v>
      </c>
      <c r="O173" s="4">
        <f t="shared" si="35"/>
        <v>10.999999999999995</v>
      </c>
      <c r="P173" s="4">
        <f t="shared" si="35"/>
        <v>10.799999999999995</v>
      </c>
      <c r="Q173" s="4">
        <f t="shared" si="35"/>
        <v>10.599999999999996</v>
      </c>
      <c r="R173" s="4">
        <f t="shared" si="35"/>
        <v>10.399999999999997</v>
      </c>
      <c r="S173" s="4">
        <f t="shared" si="35"/>
        <v>10.199999999999998</v>
      </c>
      <c r="T173" s="4">
        <f t="shared" si="35"/>
        <v>9.9999999999999982</v>
      </c>
      <c r="U173" s="4">
        <f t="shared" si="35"/>
        <v>9.7999999999999989</v>
      </c>
      <c r="V173" s="4">
        <f t="shared" si="35"/>
        <v>9.6</v>
      </c>
      <c r="W173" s="4">
        <f t="shared" si="35"/>
        <v>9.4</v>
      </c>
      <c r="X173" s="4">
        <f t="shared" si="35"/>
        <v>9.2000000000000011</v>
      </c>
      <c r="Y173" s="4">
        <f t="shared" si="35"/>
        <v>9.0000000000000018</v>
      </c>
      <c r="Z173" s="4">
        <f t="shared" si="35"/>
        <v>8.8000000000000025</v>
      </c>
      <c r="AA173" s="4">
        <f t="shared" si="35"/>
        <v>8.6000000000000032</v>
      </c>
      <c r="AB173" s="4">
        <f t="shared" si="35"/>
        <v>8.4000000000000039</v>
      </c>
      <c r="AC173" s="4">
        <f t="shared" si="35"/>
        <v>8.2000000000000046</v>
      </c>
      <c r="AD173" s="4">
        <f t="shared" si="35"/>
        <v>8.0000000000000053</v>
      </c>
      <c r="AE173" s="4">
        <f t="shared" si="35"/>
        <v>7.8000000000000052</v>
      </c>
      <c r="AF173" s="4">
        <f t="shared" si="35"/>
        <v>7.600000000000005</v>
      </c>
      <c r="AG173" s="4">
        <f t="shared" si="35"/>
        <v>7.4000000000000048</v>
      </c>
      <c r="AH173" s="4">
        <f t="shared" si="35"/>
        <v>7.2000000000000046</v>
      </c>
      <c r="AI173" s="4">
        <f t="shared" si="35"/>
        <v>7.0000000000000044</v>
      </c>
      <c r="AJ173" s="4">
        <f t="shared" si="35"/>
        <v>6.8000000000000043</v>
      </c>
      <c r="AK173" s="4">
        <f t="shared" si="35"/>
        <v>6.6000000000000041</v>
      </c>
    </row>
    <row r="174" spans="3:37" outlineLevel="1" x14ac:dyDescent="0.25">
      <c r="C174" s="38">
        <v>14.5</v>
      </c>
      <c r="D174" s="4">
        <f t="shared" si="35"/>
        <v>14.2</v>
      </c>
      <c r="E174" s="4">
        <f t="shared" si="35"/>
        <v>13.899999999999999</v>
      </c>
      <c r="F174" s="4">
        <f t="shared" si="35"/>
        <v>13.599999999999998</v>
      </c>
      <c r="G174" s="4">
        <f t="shared" si="35"/>
        <v>13.299999999999997</v>
      </c>
      <c r="H174" s="4">
        <f t="shared" si="35"/>
        <v>12.999999999999996</v>
      </c>
      <c r="I174" s="4">
        <f t="shared" si="35"/>
        <v>12.699999999999996</v>
      </c>
      <c r="J174" s="4">
        <f t="shared" si="35"/>
        <v>12.399999999999995</v>
      </c>
      <c r="K174" s="4">
        <f t="shared" si="35"/>
        <v>12.099999999999994</v>
      </c>
      <c r="L174" s="4">
        <f t="shared" si="35"/>
        <v>11.799999999999994</v>
      </c>
      <c r="M174" s="4">
        <f t="shared" si="35"/>
        <v>11.499999999999993</v>
      </c>
      <c r="N174" s="4">
        <f t="shared" si="35"/>
        <v>11.199999999999992</v>
      </c>
      <c r="O174" s="4">
        <f t="shared" si="35"/>
        <v>10.999999999999993</v>
      </c>
      <c r="P174" s="4">
        <f t="shared" si="35"/>
        <v>10.799999999999994</v>
      </c>
      <c r="Q174" s="4">
        <f t="shared" si="35"/>
        <v>10.599999999999994</v>
      </c>
      <c r="R174" s="4">
        <f t="shared" si="35"/>
        <v>10.399999999999995</v>
      </c>
      <c r="S174" s="4">
        <f t="shared" si="35"/>
        <v>10.199999999999996</v>
      </c>
      <c r="T174" s="4">
        <f t="shared" si="35"/>
        <v>9.9999999999999964</v>
      </c>
      <c r="U174" s="4">
        <f t="shared" si="35"/>
        <v>9.7999999999999972</v>
      </c>
      <c r="V174" s="4">
        <f t="shared" si="35"/>
        <v>9.5999999999999979</v>
      </c>
      <c r="W174" s="4">
        <f t="shared" si="35"/>
        <v>9.3999999999999986</v>
      </c>
      <c r="X174" s="4">
        <f t="shared" si="35"/>
        <v>9.1999999999999993</v>
      </c>
      <c r="Y174" s="4">
        <f t="shared" si="35"/>
        <v>9</v>
      </c>
      <c r="Z174" s="4">
        <f t="shared" si="35"/>
        <v>8.8000000000000007</v>
      </c>
      <c r="AA174" s="4">
        <f t="shared" si="35"/>
        <v>8.6000000000000014</v>
      </c>
      <c r="AB174" s="4">
        <f t="shared" si="35"/>
        <v>8.4000000000000021</v>
      </c>
      <c r="AC174" s="4">
        <f t="shared" si="35"/>
        <v>8.2000000000000028</v>
      </c>
      <c r="AD174" s="4">
        <f t="shared" si="35"/>
        <v>8.0000000000000036</v>
      </c>
      <c r="AE174" s="4">
        <f t="shared" si="35"/>
        <v>7.8000000000000034</v>
      </c>
      <c r="AF174" s="4">
        <f t="shared" si="35"/>
        <v>7.6000000000000032</v>
      </c>
      <c r="AG174" s="4">
        <f t="shared" si="35"/>
        <v>7.400000000000003</v>
      </c>
      <c r="AH174" s="4">
        <f t="shared" si="35"/>
        <v>7.2000000000000028</v>
      </c>
      <c r="AI174" s="4">
        <f t="shared" si="35"/>
        <v>7.0000000000000027</v>
      </c>
      <c r="AJ174" s="4">
        <f t="shared" si="35"/>
        <v>6.8000000000000025</v>
      </c>
      <c r="AK174" s="4">
        <f t="shared" si="35"/>
        <v>6.6000000000000023</v>
      </c>
    </row>
    <row r="175" spans="3:37" outlineLevel="1" x14ac:dyDescent="0.25">
      <c r="C175" s="38">
        <v>14.6</v>
      </c>
      <c r="D175" s="4">
        <f t="shared" si="35"/>
        <v>14.299999999999999</v>
      </c>
      <c r="E175" s="4">
        <f t="shared" si="35"/>
        <v>13.999999999999998</v>
      </c>
      <c r="F175" s="4">
        <f t="shared" si="35"/>
        <v>13.699999999999998</v>
      </c>
      <c r="G175" s="4">
        <f t="shared" si="35"/>
        <v>13.399999999999997</v>
      </c>
      <c r="H175" s="4">
        <f t="shared" si="35"/>
        <v>13.099999999999996</v>
      </c>
      <c r="I175" s="4">
        <f t="shared" si="35"/>
        <v>12.799999999999995</v>
      </c>
      <c r="J175" s="4">
        <f t="shared" si="35"/>
        <v>12.499999999999995</v>
      </c>
      <c r="K175" s="4">
        <f t="shared" si="35"/>
        <v>12.199999999999994</v>
      </c>
      <c r="L175" s="4">
        <f t="shared" si="35"/>
        <v>11.899999999999993</v>
      </c>
      <c r="M175" s="4">
        <f t="shared" si="35"/>
        <v>11.599999999999993</v>
      </c>
      <c r="N175" s="4">
        <f t="shared" si="35"/>
        <v>11.299999999999992</v>
      </c>
      <c r="O175" s="4">
        <f t="shared" si="35"/>
        <v>11.099999999999993</v>
      </c>
      <c r="P175" s="4">
        <f t="shared" si="35"/>
        <v>10.899999999999993</v>
      </c>
      <c r="Q175" s="4">
        <f t="shared" si="35"/>
        <v>10.699999999999994</v>
      </c>
      <c r="R175" s="4">
        <f t="shared" si="35"/>
        <v>10.499999999999995</v>
      </c>
      <c r="S175" s="4">
        <f t="shared" si="35"/>
        <v>10.299999999999995</v>
      </c>
      <c r="T175" s="4">
        <f t="shared" si="35"/>
        <v>10.099999999999996</v>
      </c>
      <c r="U175" s="4">
        <f t="shared" si="35"/>
        <v>9.8999999999999968</v>
      </c>
      <c r="V175" s="4">
        <f t="shared" si="35"/>
        <v>9.6999999999999975</v>
      </c>
      <c r="W175" s="4">
        <f t="shared" si="35"/>
        <v>9.4999999999999982</v>
      </c>
      <c r="X175" s="4">
        <f t="shared" si="35"/>
        <v>9.2999999999999989</v>
      </c>
      <c r="Y175" s="4">
        <f t="shared" si="35"/>
        <v>9.1</v>
      </c>
      <c r="Z175" s="4">
        <f t="shared" si="35"/>
        <v>8.9</v>
      </c>
      <c r="AA175" s="4">
        <f t="shared" si="35"/>
        <v>8.7000000000000011</v>
      </c>
      <c r="AB175" s="4">
        <f t="shared" si="35"/>
        <v>8.5000000000000018</v>
      </c>
      <c r="AC175" s="4">
        <f t="shared" si="35"/>
        <v>8.3000000000000025</v>
      </c>
      <c r="AD175" s="4">
        <f t="shared" si="35"/>
        <v>8.1000000000000032</v>
      </c>
      <c r="AE175" s="4">
        <f t="shared" si="35"/>
        <v>7.900000000000003</v>
      </c>
      <c r="AF175" s="4">
        <f t="shared" si="35"/>
        <v>7.7000000000000028</v>
      </c>
      <c r="AG175" s="4">
        <f t="shared" si="35"/>
        <v>7.5000000000000027</v>
      </c>
      <c r="AH175" s="4">
        <f t="shared" si="35"/>
        <v>7.3000000000000025</v>
      </c>
      <c r="AI175" s="4">
        <f t="shared" si="35"/>
        <v>7.1000000000000023</v>
      </c>
      <c r="AJ175" s="4">
        <f t="shared" si="35"/>
        <v>6.9000000000000021</v>
      </c>
      <c r="AK175" s="4">
        <f t="shared" si="35"/>
        <v>6.700000000000002</v>
      </c>
    </row>
    <row r="176" spans="3:37" outlineLevel="1" x14ac:dyDescent="0.25">
      <c r="C176" s="38">
        <v>14.7</v>
      </c>
      <c r="D176" s="4">
        <f t="shared" si="35"/>
        <v>14.399999999999999</v>
      </c>
      <c r="E176" s="4">
        <f t="shared" si="35"/>
        <v>14.099999999999998</v>
      </c>
      <c r="F176" s="4">
        <f t="shared" si="35"/>
        <v>13.799999999999997</v>
      </c>
      <c r="G176" s="4">
        <f t="shared" si="35"/>
        <v>13.499999999999996</v>
      </c>
      <c r="H176" s="4">
        <f t="shared" si="35"/>
        <v>13.199999999999996</v>
      </c>
      <c r="I176" s="4">
        <f t="shared" si="35"/>
        <v>12.899999999999995</v>
      </c>
      <c r="J176" s="4">
        <f t="shared" si="35"/>
        <v>12.599999999999994</v>
      </c>
      <c r="K176" s="4">
        <f t="shared" si="35"/>
        <v>12.299999999999994</v>
      </c>
      <c r="L176" s="4">
        <f t="shared" si="35"/>
        <v>11.999999999999993</v>
      </c>
      <c r="M176" s="4">
        <f t="shared" si="35"/>
        <v>11.699999999999992</v>
      </c>
      <c r="N176" s="4">
        <f t="shared" si="35"/>
        <v>11.399999999999991</v>
      </c>
      <c r="O176" s="4">
        <f t="shared" si="35"/>
        <v>11.199999999999992</v>
      </c>
      <c r="P176" s="4">
        <f t="shared" si="35"/>
        <v>10.999999999999993</v>
      </c>
      <c r="Q176" s="4">
        <f t="shared" si="35"/>
        <v>10.799999999999994</v>
      </c>
      <c r="R176" s="4">
        <f t="shared" si="35"/>
        <v>10.599999999999994</v>
      </c>
      <c r="S176" s="4">
        <f t="shared" si="35"/>
        <v>10.399999999999995</v>
      </c>
      <c r="T176" s="4">
        <f t="shared" si="35"/>
        <v>10.199999999999996</v>
      </c>
      <c r="U176" s="4">
        <f t="shared" ref="U176:AK176" si="36">(IF(T176&lt;=4.4,T176-$E$6,IF(AND(T176&gt;=4.5,T176&lt;=11.4),T176-$E$7,IF(AND(T176&gt;=11.5,T176&lt;=18.4),T176-$E$8,IF(AND(T176&gt;=18.5,T176&lt;=26.4),T176-$E$9,IF(AND(T176&gt;=26.4,T176&lt;=36),T176-$E$10,IF(T176&gt;=37,T176-$E$11)))))))</f>
        <v>9.9999999999999964</v>
      </c>
      <c r="V176" s="4">
        <f t="shared" si="36"/>
        <v>9.7999999999999972</v>
      </c>
      <c r="W176" s="4">
        <f t="shared" si="36"/>
        <v>9.5999999999999979</v>
      </c>
      <c r="X176" s="4">
        <f t="shared" si="36"/>
        <v>9.3999999999999986</v>
      </c>
      <c r="Y176" s="4">
        <f t="shared" si="36"/>
        <v>9.1999999999999993</v>
      </c>
      <c r="Z176" s="4">
        <f t="shared" si="36"/>
        <v>9</v>
      </c>
      <c r="AA176" s="4">
        <f t="shared" si="36"/>
        <v>8.8000000000000007</v>
      </c>
      <c r="AB176" s="4">
        <f t="shared" si="36"/>
        <v>8.6000000000000014</v>
      </c>
      <c r="AC176" s="4">
        <f t="shared" si="36"/>
        <v>8.4000000000000021</v>
      </c>
      <c r="AD176" s="4">
        <f t="shared" si="36"/>
        <v>8.2000000000000028</v>
      </c>
      <c r="AE176" s="4">
        <f t="shared" si="36"/>
        <v>8.0000000000000036</v>
      </c>
      <c r="AF176" s="4">
        <f t="shared" si="36"/>
        <v>7.8000000000000034</v>
      </c>
      <c r="AG176" s="4">
        <f t="shared" si="36"/>
        <v>7.6000000000000032</v>
      </c>
      <c r="AH176" s="4">
        <f t="shared" si="36"/>
        <v>7.400000000000003</v>
      </c>
      <c r="AI176" s="4">
        <f t="shared" si="36"/>
        <v>7.2000000000000028</v>
      </c>
      <c r="AJ176" s="4">
        <f t="shared" si="36"/>
        <v>7.0000000000000027</v>
      </c>
      <c r="AK176" s="4">
        <f t="shared" si="36"/>
        <v>6.8000000000000025</v>
      </c>
    </row>
    <row r="177" spans="3:37" outlineLevel="1" x14ac:dyDescent="0.25">
      <c r="C177" s="38">
        <v>14.8</v>
      </c>
      <c r="D177" s="4">
        <f t="shared" ref="D177:AK184" si="37">(IF(C177&lt;=4.4,C177-$E$6,IF(AND(C177&gt;=4.5,C177&lt;=11.4),C177-$E$7,IF(AND(C177&gt;=11.5,C177&lt;=18.4),C177-$E$8,IF(AND(C177&gt;=18.5,C177&lt;=26.4),C177-$E$9,IF(AND(C177&gt;=26.4,C177&lt;=36),C177-$E$10,IF(C177&gt;=37,C177-$E$11)))))))</f>
        <v>14.5</v>
      </c>
      <c r="E177" s="4">
        <f t="shared" si="37"/>
        <v>14.2</v>
      </c>
      <c r="F177" s="4">
        <f t="shared" si="37"/>
        <v>13.899999999999999</v>
      </c>
      <c r="G177" s="4">
        <f t="shared" si="37"/>
        <v>13.599999999999998</v>
      </c>
      <c r="H177" s="4">
        <f t="shared" si="37"/>
        <v>13.299999999999997</v>
      </c>
      <c r="I177" s="4">
        <f t="shared" si="37"/>
        <v>12.999999999999996</v>
      </c>
      <c r="J177" s="4">
        <f t="shared" si="37"/>
        <v>12.699999999999996</v>
      </c>
      <c r="K177" s="4">
        <f t="shared" si="37"/>
        <v>12.399999999999995</v>
      </c>
      <c r="L177" s="4">
        <f t="shared" si="37"/>
        <v>12.099999999999994</v>
      </c>
      <c r="M177" s="4">
        <f t="shared" si="37"/>
        <v>11.799999999999994</v>
      </c>
      <c r="N177" s="4">
        <f t="shared" si="37"/>
        <v>11.499999999999993</v>
      </c>
      <c r="O177" s="4">
        <f t="shared" si="37"/>
        <v>11.199999999999992</v>
      </c>
      <c r="P177" s="4">
        <f t="shared" si="37"/>
        <v>10.999999999999993</v>
      </c>
      <c r="Q177" s="4">
        <f t="shared" si="37"/>
        <v>10.799999999999994</v>
      </c>
      <c r="R177" s="4">
        <f t="shared" si="37"/>
        <v>10.599999999999994</v>
      </c>
      <c r="S177" s="4">
        <f t="shared" si="37"/>
        <v>10.399999999999995</v>
      </c>
      <c r="T177" s="4">
        <f t="shared" si="37"/>
        <v>10.199999999999996</v>
      </c>
      <c r="U177" s="4">
        <f t="shared" si="37"/>
        <v>9.9999999999999964</v>
      </c>
      <c r="V177" s="4">
        <f t="shared" si="37"/>
        <v>9.7999999999999972</v>
      </c>
      <c r="W177" s="4">
        <f t="shared" si="37"/>
        <v>9.5999999999999979</v>
      </c>
      <c r="X177" s="4">
        <f t="shared" si="37"/>
        <v>9.3999999999999986</v>
      </c>
      <c r="Y177" s="4">
        <f t="shared" si="37"/>
        <v>9.1999999999999993</v>
      </c>
      <c r="Z177" s="4">
        <f t="shared" si="37"/>
        <v>9</v>
      </c>
      <c r="AA177" s="4">
        <f t="shared" si="37"/>
        <v>8.8000000000000007</v>
      </c>
      <c r="AB177" s="4">
        <f t="shared" si="37"/>
        <v>8.6000000000000014</v>
      </c>
      <c r="AC177" s="4">
        <f t="shared" si="37"/>
        <v>8.4000000000000021</v>
      </c>
      <c r="AD177" s="4">
        <f t="shared" si="37"/>
        <v>8.2000000000000028</v>
      </c>
      <c r="AE177" s="4">
        <f t="shared" si="37"/>
        <v>8.0000000000000036</v>
      </c>
      <c r="AF177" s="4">
        <f t="shared" si="37"/>
        <v>7.8000000000000034</v>
      </c>
      <c r="AG177" s="4">
        <f t="shared" si="37"/>
        <v>7.6000000000000032</v>
      </c>
      <c r="AH177" s="4">
        <f t="shared" si="37"/>
        <v>7.400000000000003</v>
      </c>
      <c r="AI177" s="4">
        <f t="shared" si="37"/>
        <v>7.2000000000000028</v>
      </c>
      <c r="AJ177" s="4">
        <f t="shared" si="37"/>
        <v>7.0000000000000027</v>
      </c>
      <c r="AK177" s="4">
        <f t="shared" si="37"/>
        <v>6.8000000000000025</v>
      </c>
    </row>
    <row r="178" spans="3:37" outlineLevel="1" x14ac:dyDescent="0.25">
      <c r="C178" s="38">
        <v>14.9</v>
      </c>
      <c r="D178" s="4">
        <f t="shared" si="37"/>
        <v>14.6</v>
      </c>
      <c r="E178" s="4">
        <f t="shared" si="37"/>
        <v>14.299999999999999</v>
      </c>
      <c r="F178" s="4">
        <f t="shared" si="37"/>
        <v>13.999999999999998</v>
      </c>
      <c r="G178" s="4">
        <f t="shared" si="37"/>
        <v>13.699999999999998</v>
      </c>
      <c r="H178" s="4">
        <f t="shared" si="37"/>
        <v>13.399999999999997</v>
      </c>
      <c r="I178" s="4">
        <f t="shared" si="37"/>
        <v>13.099999999999996</v>
      </c>
      <c r="J178" s="4">
        <f t="shared" si="37"/>
        <v>12.799999999999995</v>
      </c>
      <c r="K178" s="4">
        <f t="shared" si="37"/>
        <v>12.499999999999995</v>
      </c>
      <c r="L178" s="4">
        <f t="shared" si="37"/>
        <v>12.199999999999994</v>
      </c>
      <c r="M178" s="4">
        <f t="shared" si="37"/>
        <v>11.899999999999993</v>
      </c>
      <c r="N178" s="4">
        <f t="shared" si="37"/>
        <v>11.599999999999993</v>
      </c>
      <c r="O178" s="4">
        <f t="shared" si="37"/>
        <v>11.299999999999992</v>
      </c>
      <c r="P178" s="4">
        <f t="shared" si="37"/>
        <v>11.099999999999993</v>
      </c>
      <c r="Q178" s="4">
        <f t="shared" si="37"/>
        <v>10.899999999999993</v>
      </c>
      <c r="R178" s="4">
        <f t="shared" si="37"/>
        <v>10.699999999999994</v>
      </c>
      <c r="S178" s="4">
        <f t="shared" si="37"/>
        <v>10.499999999999995</v>
      </c>
      <c r="T178" s="4">
        <f t="shared" si="37"/>
        <v>10.299999999999995</v>
      </c>
      <c r="U178" s="4">
        <f t="shared" si="37"/>
        <v>10.099999999999996</v>
      </c>
      <c r="V178" s="4">
        <f t="shared" si="37"/>
        <v>9.8999999999999968</v>
      </c>
      <c r="W178" s="4">
        <f t="shared" si="37"/>
        <v>9.6999999999999975</v>
      </c>
      <c r="X178" s="4">
        <f t="shared" si="37"/>
        <v>9.4999999999999982</v>
      </c>
      <c r="Y178" s="4">
        <f t="shared" si="37"/>
        <v>9.2999999999999989</v>
      </c>
      <c r="Z178" s="4">
        <f t="shared" si="37"/>
        <v>9.1</v>
      </c>
      <c r="AA178" s="4">
        <f t="shared" si="37"/>
        <v>8.9</v>
      </c>
      <c r="AB178" s="4">
        <f t="shared" si="37"/>
        <v>8.7000000000000011</v>
      </c>
      <c r="AC178" s="4">
        <f t="shared" si="37"/>
        <v>8.5000000000000018</v>
      </c>
      <c r="AD178" s="4">
        <f t="shared" si="37"/>
        <v>8.3000000000000025</v>
      </c>
      <c r="AE178" s="4">
        <f t="shared" si="37"/>
        <v>8.1000000000000032</v>
      </c>
      <c r="AF178" s="4">
        <f t="shared" si="37"/>
        <v>7.900000000000003</v>
      </c>
      <c r="AG178" s="4">
        <f t="shared" si="37"/>
        <v>7.7000000000000028</v>
      </c>
      <c r="AH178" s="4">
        <f t="shared" si="37"/>
        <v>7.5000000000000027</v>
      </c>
      <c r="AI178" s="4">
        <f t="shared" si="37"/>
        <v>7.3000000000000025</v>
      </c>
      <c r="AJ178" s="4">
        <f t="shared" si="37"/>
        <v>7.1000000000000023</v>
      </c>
      <c r="AK178" s="4">
        <f t="shared" si="37"/>
        <v>6.9000000000000021</v>
      </c>
    </row>
    <row r="179" spans="3:37" outlineLevel="1" x14ac:dyDescent="0.25">
      <c r="C179" s="38">
        <v>15</v>
      </c>
      <c r="D179" s="4">
        <f t="shared" si="37"/>
        <v>14.7</v>
      </c>
      <c r="E179" s="4">
        <f t="shared" si="37"/>
        <v>14.399999999999999</v>
      </c>
      <c r="F179" s="4">
        <f t="shared" si="37"/>
        <v>14.099999999999998</v>
      </c>
      <c r="G179" s="4">
        <f t="shared" si="37"/>
        <v>13.799999999999997</v>
      </c>
      <c r="H179" s="4">
        <f t="shared" si="37"/>
        <v>13.499999999999996</v>
      </c>
      <c r="I179" s="4">
        <f t="shared" si="37"/>
        <v>13.199999999999996</v>
      </c>
      <c r="J179" s="4">
        <f t="shared" si="37"/>
        <v>12.899999999999995</v>
      </c>
      <c r="K179" s="4">
        <f t="shared" si="37"/>
        <v>12.599999999999994</v>
      </c>
      <c r="L179" s="4">
        <f t="shared" si="37"/>
        <v>12.299999999999994</v>
      </c>
      <c r="M179" s="4">
        <f t="shared" si="37"/>
        <v>11.999999999999993</v>
      </c>
      <c r="N179" s="4">
        <f t="shared" si="37"/>
        <v>11.699999999999992</v>
      </c>
      <c r="O179" s="4">
        <f t="shared" si="37"/>
        <v>11.399999999999991</v>
      </c>
      <c r="P179" s="4">
        <f t="shared" si="37"/>
        <v>11.199999999999992</v>
      </c>
      <c r="Q179" s="4">
        <f t="shared" si="37"/>
        <v>10.999999999999993</v>
      </c>
      <c r="R179" s="4">
        <f t="shared" si="37"/>
        <v>10.799999999999994</v>
      </c>
      <c r="S179" s="4">
        <f t="shared" si="37"/>
        <v>10.599999999999994</v>
      </c>
      <c r="T179" s="4">
        <f t="shared" si="37"/>
        <v>10.399999999999995</v>
      </c>
      <c r="U179" s="4">
        <f t="shared" si="37"/>
        <v>10.199999999999996</v>
      </c>
      <c r="V179" s="4">
        <f t="shared" si="37"/>
        <v>9.9999999999999964</v>
      </c>
      <c r="W179" s="4">
        <f t="shared" si="37"/>
        <v>9.7999999999999972</v>
      </c>
      <c r="X179" s="4">
        <f t="shared" si="37"/>
        <v>9.5999999999999979</v>
      </c>
      <c r="Y179" s="4">
        <f t="shared" si="37"/>
        <v>9.3999999999999986</v>
      </c>
      <c r="Z179" s="4">
        <f t="shared" si="37"/>
        <v>9.1999999999999993</v>
      </c>
      <c r="AA179" s="4">
        <f t="shared" si="37"/>
        <v>9</v>
      </c>
      <c r="AB179" s="4">
        <f t="shared" si="37"/>
        <v>8.8000000000000007</v>
      </c>
      <c r="AC179" s="4">
        <f t="shared" si="37"/>
        <v>8.6000000000000014</v>
      </c>
      <c r="AD179" s="4">
        <f t="shared" si="37"/>
        <v>8.4000000000000021</v>
      </c>
      <c r="AE179" s="4">
        <f t="shared" si="37"/>
        <v>8.2000000000000028</v>
      </c>
      <c r="AF179" s="4">
        <f t="shared" si="37"/>
        <v>8.0000000000000036</v>
      </c>
      <c r="AG179" s="4">
        <f t="shared" si="37"/>
        <v>7.8000000000000034</v>
      </c>
      <c r="AH179" s="4">
        <f t="shared" si="37"/>
        <v>7.6000000000000032</v>
      </c>
      <c r="AI179" s="4">
        <f t="shared" si="37"/>
        <v>7.400000000000003</v>
      </c>
      <c r="AJ179" s="4">
        <f t="shared" si="37"/>
        <v>7.2000000000000028</v>
      </c>
      <c r="AK179" s="4">
        <f t="shared" si="37"/>
        <v>7.0000000000000027</v>
      </c>
    </row>
    <row r="180" spans="3:37" outlineLevel="1" x14ac:dyDescent="0.25">
      <c r="C180" s="38">
        <v>15.1</v>
      </c>
      <c r="D180" s="4">
        <f t="shared" si="37"/>
        <v>14.799999999999999</v>
      </c>
      <c r="E180" s="4">
        <f t="shared" si="37"/>
        <v>14.499999999999998</v>
      </c>
      <c r="F180" s="4">
        <f t="shared" si="37"/>
        <v>14.199999999999998</v>
      </c>
      <c r="G180" s="4">
        <f t="shared" si="37"/>
        <v>13.899999999999997</v>
      </c>
      <c r="H180" s="4">
        <f t="shared" si="37"/>
        <v>13.599999999999996</v>
      </c>
      <c r="I180" s="4">
        <f t="shared" si="37"/>
        <v>13.299999999999995</v>
      </c>
      <c r="J180" s="4">
        <f t="shared" si="37"/>
        <v>12.999999999999995</v>
      </c>
      <c r="K180" s="4">
        <f t="shared" si="37"/>
        <v>12.699999999999994</v>
      </c>
      <c r="L180" s="4">
        <f t="shared" si="37"/>
        <v>12.399999999999993</v>
      </c>
      <c r="M180" s="4">
        <f t="shared" si="37"/>
        <v>12.099999999999993</v>
      </c>
      <c r="N180" s="4">
        <f t="shared" si="37"/>
        <v>11.799999999999992</v>
      </c>
      <c r="O180" s="4">
        <f t="shared" si="37"/>
        <v>11.499999999999991</v>
      </c>
      <c r="P180" s="4">
        <f t="shared" si="37"/>
        <v>11.19999999999999</v>
      </c>
      <c r="Q180" s="4">
        <f t="shared" si="37"/>
        <v>10.999999999999991</v>
      </c>
      <c r="R180" s="4">
        <f t="shared" si="37"/>
        <v>10.799999999999992</v>
      </c>
      <c r="S180" s="4">
        <f t="shared" si="37"/>
        <v>10.599999999999993</v>
      </c>
      <c r="T180" s="4">
        <f t="shared" si="37"/>
        <v>10.399999999999993</v>
      </c>
      <c r="U180" s="4">
        <f t="shared" si="37"/>
        <v>10.199999999999994</v>
      </c>
      <c r="V180" s="4">
        <f t="shared" si="37"/>
        <v>9.9999999999999947</v>
      </c>
      <c r="W180" s="4">
        <f t="shared" si="37"/>
        <v>9.7999999999999954</v>
      </c>
      <c r="X180" s="4">
        <f t="shared" si="37"/>
        <v>9.5999999999999961</v>
      </c>
      <c r="Y180" s="4">
        <f t="shared" si="37"/>
        <v>9.3999999999999968</v>
      </c>
      <c r="Z180" s="4">
        <f t="shared" si="37"/>
        <v>9.1999999999999975</v>
      </c>
      <c r="AA180" s="4">
        <f t="shared" si="37"/>
        <v>8.9999999999999982</v>
      </c>
      <c r="AB180" s="4">
        <f t="shared" si="37"/>
        <v>8.7999999999999989</v>
      </c>
      <c r="AC180" s="4">
        <f t="shared" si="37"/>
        <v>8.6</v>
      </c>
      <c r="AD180" s="4">
        <f t="shared" si="37"/>
        <v>8.4</v>
      </c>
      <c r="AE180" s="4">
        <f t="shared" si="37"/>
        <v>8.2000000000000011</v>
      </c>
      <c r="AF180" s="4">
        <f t="shared" si="37"/>
        <v>8.0000000000000018</v>
      </c>
      <c r="AG180" s="4">
        <f t="shared" si="37"/>
        <v>7.8000000000000016</v>
      </c>
      <c r="AH180" s="4">
        <f t="shared" si="37"/>
        <v>7.6000000000000014</v>
      </c>
      <c r="AI180" s="4">
        <f t="shared" si="37"/>
        <v>7.4000000000000012</v>
      </c>
      <c r="AJ180" s="4">
        <f t="shared" si="37"/>
        <v>7.2000000000000011</v>
      </c>
      <c r="AK180" s="4">
        <f t="shared" si="37"/>
        <v>7.0000000000000009</v>
      </c>
    </row>
    <row r="181" spans="3:37" outlineLevel="1" x14ac:dyDescent="0.25">
      <c r="C181" s="38">
        <v>15.2</v>
      </c>
      <c r="D181" s="4">
        <f t="shared" si="37"/>
        <v>14.899999999999999</v>
      </c>
      <c r="E181" s="4">
        <f t="shared" si="37"/>
        <v>14.599999999999998</v>
      </c>
      <c r="F181" s="4">
        <f t="shared" si="37"/>
        <v>14.299999999999997</v>
      </c>
      <c r="G181" s="4">
        <f t="shared" si="37"/>
        <v>13.999999999999996</v>
      </c>
      <c r="H181" s="4">
        <f t="shared" si="37"/>
        <v>13.699999999999996</v>
      </c>
      <c r="I181" s="4">
        <f t="shared" si="37"/>
        <v>13.399999999999995</v>
      </c>
      <c r="J181" s="4">
        <f t="shared" si="37"/>
        <v>13.099999999999994</v>
      </c>
      <c r="K181" s="4">
        <f t="shared" si="37"/>
        <v>12.799999999999994</v>
      </c>
      <c r="L181" s="4">
        <f t="shared" si="37"/>
        <v>12.499999999999993</v>
      </c>
      <c r="M181" s="4">
        <f t="shared" si="37"/>
        <v>12.199999999999992</v>
      </c>
      <c r="N181" s="4">
        <f t="shared" si="37"/>
        <v>11.899999999999991</v>
      </c>
      <c r="O181" s="4">
        <f t="shared" si="37"/>
        <v>11.599999999999991</v>
      </c>
      <c r="P181" s="4">
        <f t="shared" si="37"/>
        <v>11.29999999999999</v>
      </c>
      <c r="Q181" s="4">
        <f t="shared" si="37"/>
        <v>11.099999999999991</v>
      </c>
      <c r="R181" s="4">
        <f t="shared" si="37"/>
        <v>10.899999999999991</v>
      </c>
      <c r="S181" s="4">
        <f t="shared" si="37"/>
        <v>10.699999999999992</v>
      </c>
      <c r="T181" s="4">
        <f t="shared" si="37"/>
        <v>10.499999999999993</v>
      </c>
      <c r="U181" s="4">
        <f t="shared" si="37"/>
        <v>10.299999999999994</v>
      </c>
      <c r="V181" s="4">
        <f t="shared" si="37"/>
        <v>10.099999999999994</v>
      </c>
      <c r="W181" s="4">
        <f t="shared" si="37"/>
        <v>9.899999999999995</v>
      </c>
      <c r="X181" s="4">
        <f t="shared" si="37"/>
        <v>9.6999999999999957</v>
      </c>
      <c r="Y181" s="4">
        <f t="shared" si="37"/>
        <v>9.4999999999999964</v>
      </c>
      <c r="Z181" s="4">
        <f t="shared" si="37"/>
        <v>9.2999999999999972</v>
      </c>
      <c r="AA181" s="4">
        <f t="shared" si="37"/>
        <v>9.0999999999999979</v>
      </c>
      <c r="AB181" s="4">
        <f t="shared" si="37"/>
        <v>8.8999999999999986</v>
      </c>
      <c r="AC181" s="4">
        <f t="shared" si="37"/>
        <v>8.6999999999999993</v>
      </c>
      <c r="AD181" s="4">
        <f t="shared" si="37"/>
        <v>8.5</v>
      </c>
      <c r="AE181" s="4">
        <f t="shared" si="37"/>
        <v>8.3000000000000007</v>
      </c>
      <c r="AF181" s="4">
        <f t="shared" si="37"/>
        <v>8.1000000000000014</v>
      </c>
      <c r="AG181" s="4">
        <f t="shared" si="37"/>
        <v>7.9000000000000012</v>
      </c>
      <c r="AH181" s="4">
        <f t="shared" si="37"/>
        <v>7.7000000000000011</v>
      </c>
      <c r="AI181" s="4">
        <f t="shared" si="37"/>
        <v>7.5000000000000009</v>
      </c>
      <c r="AJ181" s="4">
        <f t="shared" si="37"/>
        <v>7.3000000000000007</v>
      </c>
      <c r="AK181" s="4">
        <f t="shared" si="37"/>
        <v>7.1000000000000005</v>
      </c>
    </row>
    <row r="182" spans="3:37" outlineLevel="1" x14ac:dyDescent="0.25">
      <c r="C182" s="38">
        <v>15.3</v>
      </c>
      <c r="D182" s="4">
        <f t="shared" si="37"/>
        <v>15</v>
      </c>
      <c r="E182" s="4">
        <f t="shared" si="37"/>
        <v>14.7</v>
      </c>
      <c r="F182" s="4">
        <f t="shared" si="37"/>
        <v>14.399999999999999</v>
      </c>
      <c r="G182" s="4">
        <f t="shared" si="37"/>
        <v>14.099999999999998</v>
      </c>
      <c r="H182" s="4">
        <f t="shared" si="37"/>
        <v>13.799999999999997</v>
      </c>
      <c r="I182" s="4">
        <f t="shared" si="37"/>
        <v>13.499999999999996</v>
      </c>
      <c r="J182" s="4">
        <f t="shared" si="37"/>
        <v>13.199999999999996</v>
      </c>
      <c r="K182" s="4">
        <f t="shared" si="37"/>
        <v>12.899999999999995</v>
      </c>
      <c r="L182" s="4">
        <f t="shared" si="37"/>
        <v>12.599999999999994</v>
      </c>
      <c r="M182" s="4">
        <f t="shared" si="37"/>
        <v>12.299999999999994</v>
      </c>
      <c r="N182" s="4">
        <f t="shared" si="37"/>
        <v>11.999999999999993</v>
      </c>
      <c r="O182" s="4">
        <f t="shared" si="37"/>
        <v>11.699999999999992</v>
      </c>
      <c r="P182" s="4">
        <f t="shared" si="37"/>
        <v>11.399999999999991</v>
      </c>
      <c r="Q182" s="4">
        <f t="shared" si="37"/>
        <v>11.199999999999992</v>
      </c>
      <c r="R182" s="4">
        <f t="shared" si="37"/>
        <v>10.999999999999993</v>
      </c>
      <c r="S182" s="4">
        <f t="shared" si="37"/>
        <v>10.799999999999994</v>
      </c>
      <c r="T182" s="4">
        <f t="shared" si="37"/>
        <v>10.599999999999994</v>
      </c>
      <c r="U182" s="4">
        <f t="shared" si="37"/>
        <v>10.399999999999995</v>
      </c>
      <c r="V182" s="4">
        <f t="shared" si="37"/>
        <v>10.199999999999996</v>
      </c>
      <c r="W182" s="4">
        <f t="shared" si="37"/>
        <v>9.9999999999999964</v>
      </c>
      <c r="X182" s="4">
        <f t="shared" si="37"/>
        <v>9.7999999999999972</v>
      </c>
      <c r="Y182" s="4">
        <f t="shared" si="37"/>
        <v>9.5999999999999979</v>
      </c>
      <c r="Z182" s="4">
        <f t="shared" si="37"/>
        <v>9.3999999999999986</v>
      </c>
      <c r="AA182" s="4">
        <f t="shared" si="37"/>
        <v>9.1999999999999993</v>
      </c>
      <c r="AB182" s="4">
        <f t="shared" si="37"/>
        <v>9</v>
      </c>
      <c r="AC182" s="4">
        <f t="shared" si="37"/>
        <v>8.8000000000000007</v>
      </c>
      <c r="AD182" s="4">
        <f t="shared" si="37"/>
        <v>8.6000000000000014</v>
      </c>
      <c r="AE182" s="4">
        <f t="shared" si="37"/>
        <v>8.4000000000000021</v>
      </c>
      <c r="AF182" s="4">
        <f t="shared" si="37"/>
        <v>8.2000000000000028</v>
      </c>
      <c r="AG182" s="4">
        <f t="shared" si="37"/>
        <v>8.0000000000000036</v>
      </c>
      <c r="AH182" s="4">
        <f t="shared" si="37"/>
        <v>7.8000000000000034</v>
      </c>
      <c r="AI182" s="4">
        <f t="shared" si="37"/>
        <v>7.6000000000000032</v>
      </c>
      <c r="AJ182" s="4">
        <f t="shared" si="37"/>
        <v>7.400000000000003</v>
      </c>
      <c r="AK182" s="4">
        <f t="shared" si="37"/>
        <v>7.2000000000000028</v>
      </c>
    </row>
    <row r="183" spans="3:37" outlineLevel="1" x14ac:dyDescent="0.25">
      <c r="C183" s="38">
        <v>15.4</v>
      </c>
      <c r="D183" s="4">
        <f t="shared" si="37"/>
        <v>15.1</v>
      </c>
      <c r="E183" s="4">
        <f t="shared" si="37"/>
        <v>14.799999999999999</v>
      </c>
      <c r="F183" s="4">
        <f t="shared" si="37"/>
        <v>14.499999999999998</v>
      </c>
      <c r="G183" s="4">
        <f t="shared" si="37"/>
        <v>14.199999999999998</v>
      </c>
      <c r="H183" s="4">
        <f t="shared" si="37"/>
        <v>13.899999999999997</v>
      </c>
      <c r="I183" s="4">
        <f t="shared" si="37"/>
        <v>13.599999999999996</v>
      </c>
      <c r="J183" s="4">
        <f t="shared" si="37"/>
        <v>13.299999999999995</v>
      </c>
      <c r="K183" s="4">
        <f t="shared" si="37"/>
        <v>12.999999999999995</v>
      </c>
      <c r="L183" s="4">
        <f t="shared" si="37"/>
        <v>12.699999999999994</v>
      </c>
      <c r="M183" s="4">
        <f t="shared" si="37"/>
        <v>12.399999999999993</v>
      </c>
      <c r="N183" s="4">
        <f t="shared" si="37"/>
        <v>12.099999999999993</v>
      </c>
      <c r="O183" s="4">
        <f t="shared" si="37"/>
        <v>11.799999999999992</v>
      </c>
      <c r="P183" s="4">
        <f t="shared" si="37"/>
        <v>11.499999999999991</v>
      </c>
      <c r="Q183" s="4">
        <f t="shared" si="37"/>
        <v>11.19999999999999</v>
      </c>
      <c r="R183" s="4">
        <f t="shared" si="37"/>
        <v>10.999999999999991</v>
      </c>
      <c r="S183" s="4">
        <f t="shared" si="37"/>
        <v>10.799999999999992</v>
      </c>
      <c r="T183" s="4">
        <f t="shared" si="37"/>
        <v>10.599999999999993</v>
      </c>
      <c r="U183" s="4">
        <f t="shared" si="37"/>
        <v>10.399999999999993</v>
      </c>
      <c r="V183" s="4">
        <f t="shared" si="37"/>
        <v>10.199999999999994</v>
      </c>
      <c r="W183" s="4">
        <f t="shared" si="37"/>
        <v>9.9999999999999947</v>
      </c>
      <c r="X183" s="4">
        <f t="shared" si="37"/>
        <v>9.7999999999999954</v>
      </c>
      <c r="Y183" s="4">
        <f t="shared" si="37"/>
        <v>9.5999999999999961</v>
      </c>
      <c r="Z183" s="4">
        <f t="shared" si="37"/>
        <v>9.3999999999999968</v>
      </c>
      <c r="AA183" s="4">
        <f t="shared" si="37"/>
        <v>9.1999999999999975</v>
      </c>
      <c r="AB183" s="4">
        <f t="shared" si="37"/>
        <v>8.9999999999999982</v>
      </c>
      <c r="AC183" s="4">
        <f t="shared" si="37"/>
        <v>8.7999999999999989</v>
      </c>
      <c r="AD183" s="4">
        <f t="shared" si="37"/>
        <v>8.6</v>
      </c>
      <c r="AE183" s="4">
        <f t="shared" si="37"/>
        <v>8.4</v>
      </c>
      <c r="AF183" s="4">
        <f t="shared" si="37"/>
        <v>8.2000000000000011</v>
      </c>
      <c r="AG183" s="4">
        <f t="shared" si="37"/>
        <v>8.0000000000000018</v>
      </c>
      <c r="AH183" s="4">
        <f t="shared" si="37"/>
        <v>7.8000000000000016</v>
      </c>
      <c r="AI183" s="4">
        <f t="shared" si="37"/>
        <v>7.6000000000000014</v>
      </c>
      <c r="AJ183" s="4">
        <f t="shared" si="37"/>
        <v>7.4000000000000012</v>
      </c>
      <c r="AK183" s="4">
        <f t="shared" si="37"/>
        <v>7.2000000000000011</v>
      </c>
    </row>
    <row r="184" spans="3:37" outlineLevel="1" x14ac:dyDescent="0.25">
      <c r="C184" s="38">
        <v>15.5</v>
      </c>
      <c r="D184" s="4">
        <f t="shared" si="37"/>
        <v>15.2</v>
      </c>
      <c r="E184" s="4">
        <f t="shared" si="37"/>
        <v>14.899999999999999</v>
      </c>
      <c r="F184" s="4">
        <f t="shared" si="37"/>
        <v>14.599999999999998</v>
      </c>
      <c r="G184" s="4">
        <f t="shared" si="37"/>
        <v>14.299999999999997</v>
      </c>
      <c r="H184" s="4">
        <f t="shared" si="37"/>
        <v>13.999999999999996</v>
      </c>
      <c r="I184" s="4">
        <f t="shared" si="37"/>
        <v>13.699999999999996</v>
      </c>
      <c r="J184" s="4">
        <f t="shared" si="37"/>
        <v>13.399999999999995</v>
      </c>
      <c r="K184" s="4">
        <f t="shared" si="37"/>
        <v>13.099999999999994</v>
      </c>
      <c r="L184" s="4">
        <f t="shared" si="37"/>
        <v>12.799999999999994</v>
      </c>
      <c r="M184" s="4">
        <f t="shared" si="37"/>
        <v>12.499999999999993</v>
      </c>
      <c r="N184" s="4">
        <f t="shared" si="37"/>
        <v>12.199999999999992</v>
      </c>
      <c r="O184" s="4">
        <f t="shared" si="37"/>
        <v>11.899999999999991</v>
      </c>
      <c r="P184" s="4">
        <f t="shared" si="37"/>
        <v>11.599999999999991</v>
      </c>
      <c r="Q184" s="4">
        <f t="shared" si="37"/>
        <v>11.29999999999999</v>
      </c>
      <c r="R184" s="4">
        <f t="shared" si="37"/>
        <v>11.099999999999991</v>
      </c>
      <c r="S184" s="4">
        <f t="shared" si="37"/>
        <v>10.899999999999991</v>
      </c>
      <c r="T184" s="4">
        <f t="shared" si="37"/>
        <v>10.699999999999992</v>
      </c>
      <c r="U184" s="4">
        <f t="shared" ref="U184:AK184" si="38">(IF(T184&lt;=4.4,T184-$E$6,IF(AND(T184&gt;=4.5,T184&lt;=11.4),T184-$E$7,IF(AND(T184&gt;=11.5,T184&lt;=18.4),T184-$E$8,IF(AND(T184&gt;=18.5,T184&lt;=26.4),T184-$E$9,IF(AND(T184&gt;=26.4,T184&lt;=36),T184-$E$10,IF(T184&gt;=37,T184-$E$11)))))))</f>
        <v>10.499999999999993</v>
      </c>
      <c r="V184" s="4">
        <f t="shared" si="38"/>
        <v>10.299999999999994</v>
      </c>
      <c r="W184" s="4">
        <f t="shared" si="38"/>
        <v>10.099999999999994</v>
      </c>
      <c r="X184" s="4">
        <f t="shared" si="38"/>
        <v>9.899999999999995</v>
      </c>
      <c r="Y184" s="4">
        <f t="shared" si="38"/>
        <v>9.6999999999999957</v>
      </c>
      <c r="Z184" s="4">
        <f t="shared" si="38"/>
        <v>9.4999999999999964</v>
      </c>
      <c r="AA184" s="4">
        <f t="shared" si="38"/>
        <v>9.2999999999999972</v>
      </c>
      <c r="AB184" s="4">
        <f t="shared" si="38"/>
        <v>9.0999999999999979</v>
      </c>
      <c r="AC184" s="4">
        <f t="shared" si="38"/>
        <v>8.8999999999999986</v>
      </c>
      <c r="AD184" s="4">
        <f t="shared" si="38"/>
        <v>8.6999999999999993</v>
      </c>
      <c r="AE184" s="4">
        <f t="shared" si="38"/>
        <v>8.5</v>
      </c>
      <c r="AF184" s="4">
        <f t="shared" si="38"/>
        <v>8.3000000000000007</v>
      </c>
      <c r="AG184" s="4">
        <f t="shared" si="38"/>
        <v>8.1000000000000014</v>
      </c>
      <c r="AH184" s="4">
        <f t="shared" si="38"/>
        <v>7.9000000000000012</v>
      </c>
      <c r="AI184" s="4">
        <f t="shared" si="38"/>
        <v>7.7000000000000011</v>
      </c>
      <c r="AJ184" s="4">
        <f t="shared" si="38"/>
        <v>7.5000000000000009</v>
      </c>
      <c r="AK184" s="4">
        <f t="shared" si="38"/>
        <v>7.3000000000000007</v>
      </c>
    </row>
    <row r="185" spans="3:37" outlineLevel="1" x14ac:dyDescent="0.25">
      <c r="C185" s="38">
        <v>15.6</v>
      </c>
      <c r="D185" s="4">
        <f t="shared" ref="D185:AK192" si="39">(IF(C185&lt;=4.4,C185-$E$6,IF(AND(C185&gt;=4.5,C185&lt;=11.4),C185-$E$7,IF(AND(C185&gt;=11.5,C185&lt;=18.4),C185-$E$8,IF(AND(C185&gt;=18.5,C185&lt;=26.4),C185-$E$9,IF(AND(C185&gt;=26.4,C185&lt;=36),C185-$E$10,IF(C185&gt;=37,C185-$E$11)))))))</f>
        <v>15.299999999999999</v>
      </c>
      <c r="E185" s="4">
        <f t="shared" si="39"/>
        <v>14.999999999999998</v>
      </c>
      <c r="F185" s="4">
        <f t="shared" si="39"/>
        <v>14.699999999999998</v>
      </c>
      <c r="G185" s="4">
        <f t="shared" si="39"/>
        <v>14.399999999999997</v>
      </c>
      <c r="H185" s="4">
        <f t="shared" si="39"/>
        <v>14.099999999999996</v>
      </c>
      <c r="I185" s="4">
        <f t="shared" si="39"/>
        <v>13.799999999999995</v>
      </c>
      <c r="J185" s="4">
        <f t="shared" si="39"/>
        <v>13.499999999999995</v>
      </c>
      <c r="K185" s="4">
        <f t="shared" si="39"/>
        <v>13.199999999999994</v>
      </c>
      <c r="L185" s="4">
        <f t="shared" si="39"/>
        <v>12.899999999999993</v>
      </c>
      <c r="M185" s="4">
        <f t="shared" si="39"/>
        <v>12.599999999999993</v>
      </c>
      <c r="N185" s="4">
        <f t="shared" si="39"/>
        <v>12.299999999999992</v>
      </c>
      <c r="O185" s="4">
        <f t="shared" si="39"/>
        <v>11.999999999999991</v>
      </c>
      <c r="P185" s="4">
        <f t="shared" si="39"/>
        <v>11.69999999999999</v>
      </c>
      <c r="Q185" s="4">
        <f t="shared" si="39"/>
        <v>11.39999999999999</v>
      </c>
      <c r="R185" s="4">
        <f t="shared" si="39"/>
        <v>11.19999999999999</v>
      </c>
      <c r="S185" s="4">
        <f t="shared" si="39"/>
        <v>10.999999999999991</v>
      </c>
      <c r="T185" s="4">
        <f t="shared" si="39"/>
        <v>10.799999999999992</v>
      </c>
      <c r="U185" s="4">
        <f t="shared" si="39"/>
        <v>10.599999999999993</v>
      </c>
      <c r="V185" s="4">
        <f t="shared" si="39"/>
        <v>10.399999999999993</v>
      </c>
      <c r="W185" s="4">
        <f t="shared" si="39"/>
        <v>10.199999999999994</v>
      </c>
      <c r="X185" s="4">
        <f t="shared" si="39"/>
        <v>9.9999999999999947</v>
      </c>
      <c r="Y185" s="4">
        <f t="shared" si="39"/>
        <v>9.7999999999999954</v>
      </c>
      <c r="Z185" s="4">
        <f t="shared" si="39"/>
        <v>9.5999999999999961</v>
      </c>
      <c r="AA185" s="4">
        <f t="shared" si="39"/>
        <v>9.3999999999999968</v>
      </c>
      <c r="AB185" s="4">
        <f t="shared" si="39"/>
        <v>9.1999999999999975</v>
      </c>
      <c r="AC185" s="4">
        <f t="shared" si="39"/>
        <v>8.9999999999999982</v>
      </c>
      <c r="AD185" s="4">
        <f t="shared" si="39"/>
        <v>8.7999999999999989</v>
      </c>
      <c r="AE185" s="4">
        <f t="shared" si="39"/>
        <v>8.6</v>
      </c>
      <c r="AF185" s="4">
        <f t="shared" si="39"/>
        <v>8.4</v>
      </c>
      <c r="AG185" s="4">
        <f t="shared" si="39"/>
        <v>8.2000000000000011</v>
      </c>
      <c r="AH185" s="4">
        <f t="shared" si="39"/>
        <v>8.0000000000000018</v>
      </c>
      <c r="AI185" s="4">
        <f t="shared" si="39"/>
        <v>7.8000000000000016</v>
      </c>
      <c r="AJ185" s="4">
        <f t="shared" si="39"/>
        <v>7.6000000000000014</v>
      </c>
      <c r="AK185" s="4">
        <f t="shared" si="39"/>
        <v>7.4000000000000012</v>
      </c>
    </row>
    <row r="186" spans="3:37" outlineLevel="1" x14ac:dyDescent="0.25">
      <c r="C186" s="38">
        <v>15.7</v>
      </c>
      <c r="D186" s="4">
        <f t="shared" si="39"/>
        <v>15.399999999999999</v>
      </c>
      <c r="E186" s="4">
        <f t="shared" si="39"/>
        <v>15.099999999999998</v>
      </c>
      <c r="F186" s="4">
        <f t="shared" si="39"/>
        <v>14.799999999999997</v>
      </c>
      <c r="G186" s="4">
        <f t="shared" si="39"/>
        <v>14.499999999999996</v>
      </c>
      <c r="H186" s="4">
        <f t="shared" si="39"/>
        <v>14.199999999999996</v>
      </c>
      <c r="I186" s="4">
        <f t="shared" si="39"/>
        <v>13.899999999999995</v>
      </c>
      <c r="J186" s="4">
        <f t="shared" si="39"/>
        <v>13.599999999999994</v>
      </c>
      <c r="K186" s="4">
        <f t="shared" si="39"/>
        <v>13.299999999999994</v>
      </c>
      <c r="L186" s="4">
        <f t="shared" si="39"/>
        <v>12.999999999999993</v>
      </c>
      <c r="M186" s="4">
        <f t="shared" si="39"/>
        <v>12.699999999999992</v>
      </c>
      <c r="N186" s="4">
        <f t="shared" si="39"/>
        <v>12.399999999999991</v>
      </c>
      <c r="O186" s="4">
        <f t="shared" si="39"/>
        <v>12.099999999999991</v>
      </c>
      <c r="P186" s="4">
        <f t="shared" si="39"/>
        <v>11.79999999999999</v>
      </c>
      <c r="Q186" s="4">
        <f t="shared" si="39"/>
        <v>11.499999999999989</v>
      </c>
      <c r="R186" s="4">
        <f t="shared" si="39"/>
        <v>11.199999999999989</v>
      </c>
      <c r="S186" s="4">
        <f t="shared" si="39"/>
        <v>10.999999999999989</v>
      </c>
      <c r="T186" s="4">
        <f t="shared" si="39"/>
        <v>10.79999999999999</v>
      </c>
      <c r="U186" s="4">
        <f t="shared" si="39"/>
        <v>10.599999999999991</v>
      </c>
      <c r="V186" s="4">
        <f t="shared" si="39"/>
        <v>10.399999999999991</v>
      </c>
      <c r="W186" s="4">
        <f t="shared" si="39"/>
        <v>10.199999999999992</v>
      </c>
      <c r="X186" s="4">
        <f t="shared" si="39"/>
        <v>9.9999999999999929</v>
      </c>
      <c r="Y186" s="4">
        <f t="shared" si="39"/>
        <v>9.7999999999999936</v>
      </c>
      <c r="Z186" s="4">
        <f t="shared" si="39"/>
        <v>9.5999999999999943</v>
      </c>
      <c r="AA186" s="4">
        <f t="shared" si="39"/>
        <v>9.399999999999995</v>
      </c>
      <c r="AB186" s="4">
        <f t="shared" si="39"/>
        <v>9.1999999999999957</v>
      </c>
      <c r="AC186" s="4">
        <f t="shared" si="39"/>
        <v>8.9999999999999964</v>
      </c>
      <c r="AD186" s="4">
        <f t="shared" si="39"/>
        <v>8.7999999999999972</v>
      </c>
      <c r="AE186" s="4">
        <f t="shared" si="39"/>
        <v>8.5999999999999979</v>
      </c>
      <c r="AF186" s="4">
        <f t="shared" si="39"/>
        <v>8.3999999999999986</v>
      </c>
      <c r="AG186" s="4">
        <f t="shared" si="39"/>
        <v>8.1999999999999993</v>
      </c>
      <c r="AH186" s="4">
        <f t="shared" si="39"/>
        <v>7.9999999999999991</v>
      </c>
      <c r="AI186" s="4">
        <f t="shared" si="39"/>
        <v>7.7999999999999989</v>
      </c>
      <c r="AJ186" s="4">
        <f t="shared" si="39"/>
        <v>7.5999999999999988</v>
      </c>
      <c r="AK186" s="4">
        <f t="shared" si="39"/>
        <v>7.3999999999999986</v>
      </c>
    </row>
    <row r="187" spans="3:37" outlineLevel="1" x14ac:dyDescent="0.25">
      <c r="C187" s="38">
        <v>15.8</v>
      </c>
      <c r="D187" s="4">
        <f t="shared" si="39"/>
        <v>15.5</v>
      </c>
      <c r="E187" s="4">
        <f t="shared" si="39"/>
        <v>15.2</v>
      </c>
      <c r="F187" s="4">
        <f t="shared" si="39"/>
        <v>14.899999999999999</v>
      </c>
      <c r="G187" s="4">
        <f t="shared" si="39"/>
        <v>14.599999999999998</v>
      </c>
      <c r="H187" s="4">
        <f t="shared" si="39"/>
        <v>14.299999999999997</v>
      </c>
      <c r="I187" s="4">
        <f t="shared" si="39"/>
        <v>13.999999999999996</v>
      </c>
      <c r="J187" s="4">
        <f t="shared" si="39"/>
        <v>13.699999999999996</v>
      </c>
      <c r="K187" s="4">
        <f t="shared" si="39"/>
        <v>13.399999999999995</v>
      </c>
      <c r="L187" s="4">
        <f t="shared" si="39"/>
        <v>13.099999999999994</v>
      </c>
      <c r="M187" s="4">
        <f t="shared" si="39"/>
        <v>12.799999999999994</v>
      </c>
      <c r="N187" s="4">
        <f t="shared" si="39"/>
        <v>12.499999999999993</v>
      </c>
      <c r="O187" s="4">
        <f t="shared" si="39"/>
        <v>12.199999999999992</v>
      </c>
      <c r="P187" s="4">
        <f t="shared" si="39"/>
        <v>11.899999999999991</v>
      </c>
      <c r="Q187" s="4">
        <f t="shared" si="39"/>
        <v>11.599999999999991</v>
      </c>
      <c r="R187" s="4">
        <f t="shared" si="39"/>
        <v>11.29999999999999</v>
      </c>
      <c r="S187" s="4">
        <f t="shared" si="39"/>
        <v>11.099999999999991</v>
      </c>
      <c r="T187" s="4">
        <f t="shared" si="39"/>
        <v>10.899999999999991</v>
      </c>
      <c r="U187" s="4">
        <f t="shared" si="39"/>
        <v>10.699999999999992</v>
      </c>
      <c r="V187" s="4">
        <f t="shared" si="39"/>
        <v>10.499999999999993</v>
      </c>
      <c r="W187" s="4">
        <f t="shared" si="39"/>
        <v>10.299999999999994</v>
      </c>
      <c r="X187" s="4">
        <f t="shared" si="39"/>
        <v>10.099999999999994</v>
      </c>
      <c r="Y187" s="4">
        <f t="shared" si="39"/>
        <v>9.899999999999995</v>
      </c>
      <c r="Z187" s="4">
        <f t="shared" si="39"/>
        <v>9.6999999999999957</v>
      </c>
      <c r="AA187" s="4">
        <f t="shared" si="39"/>
        <v>9.4999999999999964</v>
      </c>
      <c r="AB187" s="4">
        <f t="shared" si="39"/>
        <v>9.2999999999999972</v>
      </c>
      <c r="AC187" s="4">
        <f t="shared" si="39"/>
        <v>9.0999999999999979</v>
      </c>
      <c r="AD187" s="4">
        <f t="shared" si="39"/>
        <v>8.8999999999999986</v>
      </c>
      <c r="AE187" s="4">
        <f t="shared" si="39"/>
        <v>8.6999999999999993</v>
      </c>
      <c r="AF187" s="4">
        <f t="shared" si="39"/>
        <v>8.5</v>
      </c>
      <c r="AG187" s="4">
        <f t="shared" si="39"/>
        <v>8.3000000000000007</v>
      </c>
      <c r="AH187" s="4">
        <f t="shared" si="39"/>
        <v>8.1000000000000014</v>
      </c>
      <c r="AI187" s="4">
        <f t="shared" si="39"/>
        <v>7.9000000000000012</v>
      </c>
      <c r="AJ187" s="4">
        <f t="shared" si="39"/>
        <v>7.7000000000000011</v>
      </c>
      <c r="AK187" s="4">
        <f t="shared" si="39"/>
        <v>7.5000000000000009</v>
      </c>
    </row>
    <row r="188" spans="3:37" outlineLevel="1" x14ac:dyDescent="0.25">
      <c r="C188" s="38">
        <v>15.9</v>
      </c>
      <c r="D188" s="4">
        <f t="shared" si="39"/>
        <v>15.6</v>
      </c>
      <c r="E188" s="4">
        <f t="shared" si="39"/>
        <v>15.299999999999999</v>
      </c>
      <c r="F188" s="4">
        <f t="shared" si="39"/>
        <v>14.999999999999998</v>
      </c>
      <c r="G188" s="4">
        <f t="shared" si="39"/>
        <v>14.699999999999998</v>
      </c>
      <c r="H188" s="4">
        <f t="shared" si="39"/>
        <v>14.399999999999997</v>
      </c>
      <c r="I188" s="4">
        <f t="shared" si="39"/>
        <v>14.099999999999996</v>
      </c>
      <c r="J188" s="4">
        <f t="shared" si="39"/>
        <v>13.799999999999995</v>
      </c>
      <c r="K188" s="4">
        <f t="shared" si="39"/>
        <v>13.499999999999995</v>
      </c>
      <c r="L188" s="4">
        <f t="shared" si="39"/>
        <v>13.199999999999994</v>
      </c>
      <c r="M188" s="4">
        <f t="shared" si="39"/>
        <v>12.899999999999993</v>
      </c>
      <c r="N188" s="4">
        <f t="shared" si="39"/>
        <v>12.599999999999993</v>
      </c>
      <c r="O188" s="4">
        <f t="shared" si="39"/>
        <v>12.299999999999992</v>
      </c>
      <c r="P188" s="4">
        <f t="shared" si="39"/>
        <v>11.999999999999991</v>
      </c>
      <c r="Q188" s="4">
        <f t="shared" si="39"/>
        <v>11.69999999999999</v>
      </c>
      <c r="R188" s="4">
        <f t="shared" si="39"/>
        <v>11.39999999999999</v>
      </c>
      <c r="S188" s="4">
        <f t="shared" si="39"/>
        <v>11.19999999999999</v>
      </c>
      <c r="T188" s="4">
        <f t="shared" si="39"/>
        <v>10.999999999999991</v>
      </c>
      <c r="U188" s="4">
        <f t="shared" si="39"/>
        <v>10.799999999999992</v>
      </c>
      <c r="V188" s="4">
        <f t="shared" si="39"/>
        <v>10.599999999999993</v>
      </c>
      <c r="W188" s="4">
        <f t="shared" si="39"/>
        <v>10.399999999999993</v>
      </c>
      <c r="X188" s="4">
        <f t="shared" si="39"/>
        <v>10.199999999999994</v>
      </c>
      <c r="Y188" s="4">
        <f t="shared" si="39"/>
        <v>9.9999999999999947</v>
      </c>
      <c r="Z188" s="4">
        <f t="shared" si="39"/>
        <v>9.7999999999999954</v>
      </c>
      <c r="AA188" s="4">
        <f t="shared" si="39"/>
        <v>9.5999999999999961</v>
      </c>
      <c r="AB188" s="4">
        <f t="shared" si="39"/>
        <v>9.3999999999999968</v>
      </c>
      <c r="AC188" s="4">
        <f t="shared" si="39"/>
        <v>9.1999999999999975</v>
      </c>
      <c r="AD188" s="4">
        <f t="shared" si="39"/>
        <v>8.9999999999999982</v>
      </c>
      <c r="AE188" s="4">
        <f t="shared" si="39"/>
        <v>8.7999999999999989</v>
      </c>
      <c r="AF188" s="4">
        <f t="shared" si="39"/>
        <v>8.6</v>
      </c>
      <c r="AG188" s="4">
        <f t="shared" si="39"/>
        <v>8.4</v>
      </c>
      <c r="AH188" s="4">
        <f t="shared" si="39"/>
        <v>8.2000000000000011</v>
      </c>
      <c r="AI188" s="4">
        <f t="shared" si="39"/>
        <v>8.0000000000000018</v>
      </c>
      <c r="AJ188" s="4">
        <f t="shared" si="39"/>
        <v>7.8000000000000016</v>
      </c>
      <c r="AK188" s="4">
        <f t="shared" si="39"/>
        <v>7.6000000000000014</v>
      </c>
    </row>
    <row r="189" spans="3:37" outlineLevel="1" x14ac:dyDescent="0.25">
      <c r="C189" s="38">
        <v>16</v>
      </c>
      <c r="D189" s="4">
        <f t="shared" si="39"/>
        <v>15.7</v>
      </c>
      <c r="E189" s="4">
        <f t="shared" si="39"/>
        <v>15.399999999999999</v>
      </c>
      <c r="F189" s="4">
        <f t="shared" si="39"/>
        <v>15.099999999999998</v>
      </c>
      <c r="G189" s="4">
        <f t="shared" si="39"/>
        <v>14.799999999999997</v>
      </c>
      <c r="H189" s="4">
        <f t="shared" si="39"/>
        <v>14.499999999999996</v>
      </c>
      <c r="I189" s="4">
        <f t="shared" si="39"/>
        <v>14.199999999999996</v>
      </c>
      <c r="J189" s="4">
        <f t="shared" si="39"/>
        <v>13.899999999999995</v>
      </c>
      <c r="K189" s="4">
        <f t="shared" si="39"/>
        <v>13.599999999999994</v>
      </c>
      <c r="L189" s="4">
        <f t="shared" si="39"/>
        <v>13.299999999999994</v>
      </c>
      <c r="M189" s="4">
        <f t="shared" si="39"/>
        <v>12.999999999999993</v>
      </c>
      <c r="N189" s="4">
        <f t="shared" si="39"/>
        <v>12.699999999999992</v>
      </c>
      <c r="O189" s="4">
        <f t="shared" si="39"/>
        <v>12.399999999999991</v>
      </c>
      <c r="P189" s="4">
        <f t="shared" si="39"/>
        <v>12.099999999999991</v>
      </c>
      <c r="Q189" s="4">
        <f t="shared" si="39"/>
        <v>11.79999999999999</v>
      </c>
      <c r="R189" s="4">
        <f t="shared" si="39"/>
        <v>11.499999999999989</v>
      </c>
      <c r="S189" s="4">
        <f t="shared" si="39"/>
        <v>11.199999999999989</v>
      </c>
      <c r="T189" s="4">
        <f t="shared" si="39"/>
        <v>10.999999999999989</v>
      </c>
      <c r="U189" s="4">
        <f t="shared" si="39"/>
        <v>10.79999999999999</v>
      </c>
      <c r="V189" s="4">
        <f t="shared" si="39"/>
        <v>10.599999999999991</v>
      </c>
      <c r="W189" s="4">
        <f t="shared" si="39"/>
        <v>10.399999999999991</v>
      </c>
      <c r="X189" s="4">
        <f t="shared" si="39"/>
        <v>10.199999999999992</v>
      </c>
      <c r="Y189" s="4">
        <f t="shared" si="39"/>
        <v>9.9999999999999929</v>
      </c>
      <c r="Z189" s="4">
        <f t="shared" si="39"/>
        <v>9.7999999999999936</v>
      </c>
      <c r="AA189" s="4">
        <f t="shared" si="39"/>
        <v>9.5999999999999943</v>
      </c>
      <c r="AB189" s="4">
        <f t="shared" si="39"/>
        <v>9.399999999999995</v>
      </c>
      <c r="AC189" s="4">
        <f t="shared" si="39"/>
        <v>9.1999999999999957</v>
      </c>
      <c r="AD189" s="4">
        <f t="shared" si="39"/>
        <v>8.9999999999999964</v>
      </c>
      <c r="AE189" s="4">
        <f t="shared" si="39"/>
        <v>8.7999999999999972</v>
      </c>
      <c r="AF189" s="4">
        <f t="shared" si="39"/>
        <v>8.5999999999999979</v>
      </c>
      <c r="AG189" s="4">
        <f t="shared" si="39"/>
        <v>8.3999999999999986</v>
      </c>
      <c r="AH189" s="4">
        <f t="shared" si="39"/>
        <v>8.1999999999999993</v>
      </c>
      <c r="AI189" s="4">
        <f t="shared" si="39"/>
        <v>7.9999999999999991</v>
      </c>
      <c r="AJ189" s="4">
        <f t="shared" si="39"/>
        <v>7.7999999999999989</v>
      </c>
      <c r="AK189" s="4">
        <f t="shared" si="39"/>
        <v>7.5999999999999988</v>
      </c>
    </row>
    <row r="190" spans="3:37" outlineLevel="1" x14ac:dyDescent="0.25">
      <c r="C190" s="38">
        <v>16.100000000000001</v>
      </c>
      <c r="D190" s="4">
        <f t="shared" si="39"/>
        <v>15.8</v>
      </c>
      <c r="E190" s="4">
        <f t="shared" si="39"/>
        <v>15.5</v>
      </c>
      <c r="F190" s="4">
        <f t="shared" si="39"/>
        <v>15.2</v>
      </c>
      <c r="G190" s="4">
        <f t="shared" si="39"/>
        <v>14.899999999999999</v>
      </c>
      <c r="H190" s="4">
        <f t="shared" si="39"/>
        <v>14.599999999999998</v>
      </c>
      <c r="I190" s="4">
        <f t="shared" si="39"/>
        <v>14.299999999999997</v>
      </c>
      <c r="J190" s="4">
        <f t="shared" si="39"/>
        <v>13.999999999999996</v>
      </c>
      <c r="K190" s="4">
        <f t="shared" si="39"/>
        <v>13.699999999999996</v>
      </c>
      <c r="L190" s="4">
        <f t="shared" si="39"/>
        <v>13.399999999999995</v>
      </c>
      <c r="M190" s="4">
        <f t="shared" si="39"/>
        <v>13.099999999999994</v>
      </c>
      <c r="N190" s="4">
        <f t="shared" si="39"/>
        <v>12.799999999999994</v>
      </c>
      <c r="O190" s="4">
        <f t="shared" si="39"/>
        <v>12.499999999999993</v>
      </c>
      <c r="P190" s="4">
        <f t="shared" si="39"/>
        <v>12.199999999999992</v>
      </c>
      <c r="Q190" s="4">
        <f t="shared" si="39"/>
        <v>11.899999999999991</v>
      </c>
      <c r="R190" s="4">
        <f t="shared" si="39"/>
        <v>11.599999999999991</v>
      </c>
      <c r="S190" s="4">
        <f t="shared" si="39"/>
        <v>11.29999999999999</v>
      </c>
      <c r="T190" s="4">
        <f t="shared" si="39"/>
        <v>11.099999999999991</v>
      </c>
      <c r="U190" s="4">
        <f t="shared" si="39"/>
        <v>10.899999999999991</v>
      </c>
      <c r="V190" s="4">
        <f t="shared" si="39"/>
        <v>10.699999999999992</v>
      </c>
      <c r="W190" s="4">
        <f t="shared" si="39"/>
        <v>10.499999999999993</v>
      </c>
      <c r="X190" s="4">
        <f t="shared" si="39"/>
        <v>10.299999999999994</v>
      </c>
      <c r="Y190" s="4">
        <f t="shared" si="39"/>
        <v>10.099999999999994</v>
      </c>
      <c r="Z190" s="4">
        <f t="shared" si="39"/>
        <v>9.899999999999995</v>
      </c>
      <c r="AA190" s="4">
        <f t="shared" si="39"/>
        <v>9.6999999999999957</v>
      </c>
      <c r="AB190" s="4">
        <f t="shared" si="39"/>
        <v>9.4999999999999964</v>
      </c>
      <c r="AC190" s="4">
        <f t="shared" si="39"/>
        <v>9.2999999999999972</v>
      </c>
      <c r="AD190" s="4">
        <f t="shared" si="39"/>
        <v>9.0999999999999979</v>
      </c>
      <c r="AE190" s="4">
        <f t="shared" si="39"/>
        <v>8.8999999999999986</v>
      </c>
      <c r="AF190" s="4">
        <f t="shared" si="39"/>
        <v>8.6999999999999993</v>
      </c>
      <c r="AG190" s="4">
        <f t="shared" si="39"/>
        <v>8.5</v>
      </c>
      <c r="AH190" s="4">
        <f t="shared" si="39"/>
        <v>8.3000000000000007</v>
      </c>
      <c r="AI190" s="4">
        <f t="shared" si="39"/>
        <v>8.1000000000000014</v>
      </c>
      <c r="AJ190" s="4">
        <f t="shared" si="39"/>
        <v>7.9000000000000012</v>
      </c>
      <c r="AK190" s="4">
        <f t="shared" si="39"/>
        <v>7.7000000000000011</v>
      </c>
    </row>
    <row r="191" spans="3:37" outlineLevel="1" x14ac:dyDescent="0.25">
      <c r="C191" s="38">
        <v>16.2</v>
      </c>
      <c r="D191" s="4">
        <f t="shared" si="39"/>
        <v>15.899999999999999</v>
      </c>
      <c r="E191" s="4">
        <f t="shared" si="39"/>
        <v>15.599999999999998</v>
      </c>
      <c r="F191" s="4">
        <f t="shared" si="39"/>
        <v>15.299999999999997</v>
      </c>
      <c r="G191" s="4">
        <f t="shared" si="39"/>
        <v>14.999999999999996</v>
      </c>
      <c r="H191" s="4">
        <f t="shared" si="39"/>
        <v>14.699999999999996</v>
      </c>
      <c r="I191" s="4">
        <f t="shared" si="39"/>
        <v>14.399999999999995</v>
      </c>
      <c r="J191" s="4">
        <f t="shared" si="39"/>
        <v>14.099999999999994</v>
      </c>
      <c r="K191" s="4">
        <f t="shared" si="39"/>
        <v>13.799999999999994</v>
      </c>
      <c r="L191" s="4">
        <f t="shared" si="39"/>
        <v>13.499999999999993</v>
      </c>
      <c r="M191" s="4">
        <f t="shared" si="39"/>
        <v>13.199999999999992</v>
      </c>
      <c r="N191" s="4">
        <f t="shared" si="39"/>
        <v>12.899999999999991</v>
      </c>
      <c r="O191" s="4">
        <f t="shared" si="39"/>
        <v>12.599999999999991</v>
      </c>
      <c r="P191" s="4">
        <f t="shared" si="39"/>
        <v>12.29999999999999</v>
      </c>
      <c r="Q191" s="4">
        <f t="shared" si="39"/>
        <v>11.999999999999989</v>
      </c>
      <c r="R191" s="4">
        <f t="shared" si="39"/>
        <v>11.699999999999989</v>
      </c>
      <c r="S191" s="4">
        <f t="shared" si="39"/>
        <v>11.399999999999988</v>
      </c>
      <c r="T191" s="4">
        <f t="shared" si="39"/>
        <v>11.199999999999989</v>
      </c>
      <c r="U191" s="4">
        <f t="shared" si="39"/>
        <v>10.999999999999989</v>
      </c>
      <c r="V191" s="4">
        <f t="shared" si="39"/>
        <v>10.79999999999999</v>
      </c>
      <c r="W191" s="4">
        <f t="shared" si="39"/>
        <v>10.599999999999991</v>
      </c>
      <c r="X191" s="4">
        <f t="shared" si="39"/>
        <v>10.399999999999991</v>
      </c>
      <c r="Y191" s="4">
        <f t="shared" si="39"/>
        <v>10.199999999999992</v>
      </c>
      <c r="Z191" s="4">
        <f t="shared" si="39"/>
        <v>9.9999999999999929</v>
      </c>
      <c r="AA191" s="4">
        <f t="shared" si="39"/>
        <v>9.7999999999999936</v>
      </c>
      <c r="AB191" s="4">
        <f t="shared" si="39"/>
        <v>9.5999999999999943</v>
      </c>
      <c r="AC191" s="4">
        <f t="shared" si="39"/>
        <v>9.399999999999995</v>
      </c>
      <c r="AD191" s="4">
        <f t="shared" si="39"/>
        <v>9.1999999999999957</v>
      </c>
      <c r="AE191" s="4">
        <f t="shared" si="39"/>
        <v>8.9999999999999964</v>
      </c>
      <c r="AF191" s="4">
        <f t="shared" si="39"/>
        <v>8.7999999999999972</v>
      </c>
      <c r="AG191" s="4">
        <f t="shared" si="39"/>
        <v>8.5999999999999979</v>
      </c>
      <c r="AH191" s="4">
        <f t="shared" si="39"/>
        <v>8.3999999999999986</v>
      </c>
      <c r="AI191" s="4">
        <f t="shared" si="39"/>
        <v>8.1999999999999993</v>
      </c>
      <c r="AJ191" s="4">
        <f t="shared" si="39"/>
        <v>7.9999999999999991</v>
      </c>
      <c r="AK191" s="4">
        <f t="shared" si="39"/>
        <v>7.7999999999999989</v>
      </c>
    </row>
    <row r="192" spans="3:37" outlineLevel="1" x14ac:dyDescent="0.25">
      <c r="C192" s="38">
        <v>16.3</v>
      </c>
      <c r="D192" s="4">
        <f t="shared" si="39"/>
        <v>16</v>
      </c>
      <c r="E192" s="4">
        <f t="shared" si="39"/>
        <v>15.7</v>
      </c>
      <c r="F192" s="4">
        <f t="shared" si="39"/>
        <v>15.399999999999999</v>
      </c>
      <c r="G192" s="4">
        <f t="shared" si="39"/>
        <v>15.099999999999998</v>
      </c>
      <c r="H192" s="4">
        <f t="shared" si="39"/>
        <v>14.799999999999997</v>
      </c>
      <c r="I192" s="4">
        <f t="shared" si="39"/>
        <v>14.499999999999996</v>
      </c>
      <c r="J192" s="4">
        <f t="shared" si="39"/>
        <v>14.199999999999996</v>
      </c>
      <c r="K192" s="4">
        <f t="shared" si="39"/>
        <v>13.899999999999995</v>
      </c>
      <c r="L192" s="4">
        <f t="shared" si="39"/>
        <v>13.599999999999994</v>
      </c>
      <c r="M192" s="4">
        <f t="shared" si="39"/>
        <v>13.299999999999994</v>
      </c>
      <c r="N192" s="4">
        <f t="shared" si="39"/>
        <v>12.999999999999993</v>
      </c>
      <c r="O192" s="4">
        <f t="shared" si="39"/>
        <v>12.699999999999992</v>
      </c>
      <c r="P192" s="4">
        <f t="shared" si="39"/>
        <v>12.399999999999991</v>
      </c>
      <c r="Q192" s="4">
        <f t="shared" si="39"/>
        <v>12.099999999999991</v>
      </c>
      <c r="R192" s="4">
        <f t="shared" si="39"/>
        <v>11.79999999999999</v>
      </c>
      <c r="S192" s="4">
        <f t="shared" si="39"/>
        <v>11.499999999999989</v>
      </c>
      <c r="T192" s="4">
        <f t="shared" si="39"/>
        <v>11.199999999999989</v>
      </c>
      <c r="U192" s="4">
        <f t="shared" ref="U192:AK192" si="40">(IF(T192&lt;=4.4,T192-$E$6,IF(AND(T192&gt;=4.5,T192&lt;=11.4),T192-$E$7,IF(AND(T192&gt;=11.5,T192&lt;=18.4),T192-$E$8,IF(AND(T192&gt;=18.5,T192&lt;=26.4),T192-$E$9,IF(AND(T192&gt;=26.4,T192&lt;=36),T192-$E$10,IF(T192&gt;=37,T192-$E$11)))))))</f>
        <v>10.999999999999989</v>
      </c>
      <c r="V192" s="4">
        <f t="shared" si="40"/>
        <v>10.79999999999999</v>
      </c>
      <c r="W192" s="4">
        <f t="shared" si="40"/>
        <v>10.599999999999991</v>
      </c>
      <c r="X192" s="4">
        <f t="shared" si="40"/>
        <v>10.399999999999991</v>
      </c>
      <c r="Y192" s="4">
        <f t="shared" si="40"/>
        <v>10.199999999999992</v>
      </c>
      <c r="Z192" s="4">
        <f t="shared" si="40"/>
        <v>9.9999999999999929</v>
      </c>
      <c r="AA192" s="4">
        <f t="shared" si="40"/>
        <v>9.7999999999999936</v>
      </c>
      <c r="AB192" s="4">
        <f t="shared" si="40"/>
        <v>9.5999999999999943</v>
      </c>
      <c r="AC192" s="4">
        <f t="shared" si="40"/>
        <v>9.399999999999995</v>
      </c>
      <c r="AD192" s="4">
        <f t="shared" si="40"/>
        <v>9.1999999999999957</v>
      </c>
      <c r="AE192" s="4">
        <f t="shared" si="40"/>
        <v>8.9999999999999964</v>
      </c>
      <c r="AF192" s="4">
        <f t="shared" si="40"/>
        <v>8.7999999999999972</v>
      </c>
      <c r="AG192" s="4">
        <f t="shared" si="40"/>
        <v>8.5999999999999979</v>
      </c>
      <c r="AH192" s="4">
        <f t="shared" si="40"/>
        <v>8.3999999999999986</v>
      </c>
      <c r="AI192" s="4">
        <f t="shared" si="40"/>
        <v>8.1999999999999993</v>
      </c>
      <c r="AJ192" s="4">
        <f t="shared" si="40"/>
        <v>7.9999999999999991</v>
      </c>
      <c r="AK192" s="4">
        <f t="shared" si="40"/>
        <v>7.7999999999999989</v>
      </c>
    </row>
    <row r="193" spans="3:37" outlineLevel="1" x14ac:dyDescent="0.25">
      <c r="C193" s="38">
        <v>16.399999999999999</v>
      </c>
      <c r="D193" s="4">
        <f t="shared" ref="D193:AK200" si="41">(IF(C193&lt;=4.4,C193-$E$6,IF(AND(C193&gt;=4.5,C193&lt;=11.4),C193-$E$7,IF(AND(C193&gt;=11.5,C193&lt;=18.4),C193-$E$8,IF(AND(C193&gt;=18.5,C193&lt;=26.4),C193-$E$9,IF(AND(C193&gt;=26.4,C193&lt;=36),C193-$E$10,IF(C193&gt;=37,C193-$E$11)))))))</f>
        <v>16.099999999999998</v>
      </c>
      <c r="E193" s="4">
        <f t="shared" si="41"/>
        <v>15.799999999999997</v>
      </c>
      <c r="F193" s="4">
        <f t="shared" si="41"/>
        <v>15.499999999999996</v>
      </c>
      <c r="G193" s="4">
        <f t="shared" si="41"/>
        <v>15.199999999999996</v>
      </c>
      <c r="H193" s="4">
        <f t="shared" si="41"/>
        <v>14.899999999999995</v>
      </c>
      <c r="I193" s="4">
        <f t="shared" si="41"/>
        <v>14.599999999999994</v>
      </c>
      <c r="J193" s="4">
        <f t="shared" si="41"/>
        <v>14.299999999999994</v>
      </c>
      <c r="K193" s="4">
        <f t="shared" si="41"/>
        <v>13.999999999999993</v>
      </c>
      <c r="L193" s="4">
        <f t="shared" si="41"/>
        <v>13.699999999999992</v>
      </c>
      <c r="M193" s="4">
        <f t="shared" si="41"/>
        <v>13.399999999999991</v>
      </c>
      <c r="N193" s="4">
        <f t="shared" si="41"/>
        <v>13.099999999999991</v>
      </c>
      <c r="O193" s="4">
        <f t="shared" si="41"/>
        <v>12.79999999999999</v>
      </c>
      <c r="P193" s="4">
        <f t="shared" si="41"/>
        <v>12.499999999999989</v>
      </c>
      <c r="Q193" s="4">
        <f t="shared" si="41"/>
        <v>12.199999999999989</v>
      </c>
      <c r="R193" s="4">
        <f t="shared" si="41"/>
        <v>11.899999999999988</v>
      </c>
      <c r="S193" s="4">
        <f t="shared" si="41"/>
        <v>11.599999999999987</v>
      </c>
      <c r="T193" s="4">
        <f t="shared" si="41"/>
        <v>11.299999999999986</v>
      </c>
      <c r="U193" s="4">
        <f t="shared" si="41"/>
        <v>11.099999999999987</v>
      </c>
      <c r="V193" s="4">
        <f t="shared" si="41"/>
        <v>10.899999999999988</v>
      </c>
      <c r="W193" s="4">
        <f t="shared" si="41"/>
        <v>10.699999999999989</v>
      </c>
      <c r="X193" s="4">
        <f t="shared" si="41"/>
        <v>10.499999999999989</v>
      </c>
      <c r="Y193" s="4">
        <f t="shared" si="41"/>
        <v>10.29999999999999</v>
      </c>
      <c r="Z193" s="4">
        <f t="shared" si="41"/>
        <v>10.099999999999991</v>
      </c>
      <c r="AA193" s="4">
        <f t="shared" si="41"/>
        <v>9.8999999999999915</v>
      </c>
      <c r="AB193" s="4">
        <f t="shared" si="41"/>
        <v>9.6999999999999922</v>
      </c>
      <c r="AC193" s="4">
        <f t="shared" si="41"/>
        <v>9.4999999999999929</v>
      </c>
      <c r="AD193" s="4">
        <f t="shared" si="41"/>
        <v>9.2999999999999936</v>
      </c>
      <c r="AE193" s="4">
        <f t="shared" si="41"/>
        <v>9.0999999999999943</v>
      </c>
      <c r="AF193" s="4">
        <f t="shared" si="41"/>
        <v>8.899999999999995</v>
      </c>
      <c r="AG193" s="4">
        <f t="shared" si="41"/>
        <v>8.6999999999999957</v>
      </c>
      <c r="AH193" s="4">
        <f t="shared" si="41"/>
        <v>8.4999999999999964</v>
      </c>
      <c r="AI193" s="4">
        <f t="shared" si="41"/>
        <v>8.2999999999999972</v>
      </c>
      <c r="AJ193" s="4">
        <f t="shared" si="41"/>
        <v>8.0999999999999979</v>
      </c>
      <c r="AK193" s="4">
        <f t="shared" si="41"/>
        <v>7.8999999999999977</v>
      </c>
    </row>
    <row r="194" spans="3:37" outlineLevel="1" x14ac:dyDescent="0.25">
      <c r="C194" s="38">
        <v>16.5</v>
      </c>
      <c r="D194" s="4">
        <f t="shared" si="41"/>
        <v>16.2</v>
      </c>
      <c r="E194" s="4">
        <f t="shared" si="41"/>
        <v>15.899999999999999</v>
      </c>
      <c r="F194" s="4">
        <f t="shared" si="41"/>
        <v>15.599999999999998</v>
      </c>
      <c r="G194" s="4">
        <f t="shared" si="41"/>
        <v>15.299999999999997</v>
      </c>
      <c r="H194" s="4">
        <f t="shared" si="41"/>
        <v>14.999999999999996</v>
      </c>
      <c r="I194" s="4">
        <f t="shared" si="41"/>
        <v>14.699999999999996</v>
      </c>
      <c r="J194" s="4">
        <f t="shared" si="41"/>
        <v>14.399999999999995</v>
      </c>
      <c r="K194" s="4">
        <f t="shared" si="41"/>
        <v>14.099999999999994</v>
      </c>
      <c r="L194" s="4">
        <f t="shared" si="41"/>
        <v>13.799999999999994</v>
      </c>
      <c r="M194" s="4">
        <f t="shared" si="41"/>
        <v>13.499999999999993</v>
      </c>
      <c r="N194" s="4">
        <f t="shared" si="41"/>
        <v>13.199999999999992</v>
      </c>
      <c r="O194" s="4">
        <f t="shared" si="41"/>
        <v>12.899999999999991</v>
      </c>
      <c r="P194" s="4">
        <f t="shared" si="41"/>
        <v>12.599999999999991</v>
      </c>
      <c r="Q194" s="4">
        <f t="shared" si="41"/>
        <v>12.29999999999999</v>
      </c>
      <c r="R194" s="4">
        <f t="shared" si="41"/>
        <v>11.999999999999989</v>
      </c>
      <c r="S194" s="4">
        <f t="shared" si="41"/>
        <v>11.699999999999989</v>
      </c>
      <c r="T194" s="4">
        <f t="shared" si="41"/>
        <v>11.399999999999988</v>
      </c>
      <c r="U194" s="4">
        <f t="shared" si="41"/>
        <v>11.199999999999989</v>
      </c>
      <c r="V194" s="4">
        <f t="shared" si="41"/>
        <v>10.999999999999989</v>
      </c>
      <c r="W194" s="4">
        <f t="shared" si="41"/>
        <v>10.79999999999999</v>
      </c>
      <c r="X194" s="4">
        <f t="shared" si="41"/>
        <v>10.599999999999991</v>
      </c>
      <c r="Y194" s="4">
        <f t="shared" si="41"/>
        <v>10.399999999999991</v>
      </c>
      <c r="Z194" s="4">
        <f t="shared" si="41"/>
        <v>10.199999999999992</v>
      </c>
      <c r="AA194" s="4">
        <f t="shared" si="41"/>
        <v>9.9999999999999929</v>
      </c>
      <c r="AB194" s="4">
        <f t="shared" si="41"/>
        <v>9.7999999999999936</v>
      </c>
      <c r="AC194" s="4">
        <f t="shared" si="41"/>
        <v>9.5999999999999943</v>
      </c>
      <c r="AD194" s="4">
        <f t="shared" si="41"/>
        <v>9.399999999999995</v>
      </c>
      <c r="AE194" s="4">
        <f t="shared" si="41"/>
        <v>9.1999999999999957</v>
      </c>
      <c r="AF194" s="4">
        <f t="shared" si="41"/>
        <v>8.9999999999999964</v>
      </c>
      <c r="AG194" s="4">
        <f t="shared" si="41"/>
        <v>8.7999999999999972</v>
      </c>
      <c r="AH194" s="4">
        <f t="shared" si="41"/>
        <v>8.5999999999999979</v>
      </c>
      <c r="AI194" s="4">
        <f t="shared" si="41"/>
        <v>8.3999999999999986</v>
      </c>
      <c r="AJ194" s="4">
        <f t="shared" si="41"/>
        <v>8.1999999999999993</v>
      </c>
      <c r="AK194" s="4">
        <f t="shared" si="41"/>
        <v>7.9999999999999991</v>
      </c>
    </row>
    <row r="195" spans="3:37" outlineLevel="1" x14ac:dyDescent="0.25">
      <c r="C195" s="38">
        <v>16.600000000000001</v>
      </c>
      <c r="D195" s="4">
        <f t="shared" si="41"/>
        <v>16.3</v>
      </c>
      <c r="E195" s="4">
        <f t="shared" si="41"/>
        <v>16</v>
      </c>
      <c r="F195" s="4">
        <f t="shared" si="41"/>
        <v>15.7</v>
      </c>
      <c r="G195" s="4">
        <f t="shared" si="41"/>
        <v>15.399999999999999</v>
      </c>
      <c r="H195" s="4">
        <f t="shared" si="41"/>
        <v>15.099999999999998</v>
      </c>
      <c r="I195" s="4">
        <f t="shared" si="41"/>
        <v>14.799999999999997</v>
      </c>
      <c r="J195" s="4">
        <f t="shared" si="41"/>
        <v>14.499999999999996</v>
      </c>
      <c r="K195" s="4">
        <f t="shared" si="41"/>
        <v>14.199999999999996</v>
      </c>
      <c r="L195" s="4">
        <f t="shared" si="41"/>
        <v>13.899999999999995</v>
      </c>
      <c r="M195" s="4">
        <f t="shared" si="41"/>
        <v>13.599999999999994</v>
      </c>
      <c r="N195" s="4">
        <f t="shared" si="41"/>
        <v>13.299999999999994</v>
      </c>
      <c r="O195" s="4">
        <f t="shared" si="41"/>
        <v>12.999999999999993</v>
      </c>
      <c r="P195" s="4">
        <f t="shared" si="41"/>
        <v>12.699999999999992</v>
      </c>
      <c r="Q195" s="4">
        <f t="shared" si="41"/>
        <v>12.399999999999991</v>
      </c>
      <c r="R195" s="4">
        <f t="shared" si="41"/>
        <v>12.099999999999991</v>
      </c>
      <c r="S195" s="4">
        <f t="shared" si="41"/>
        <v>11.79999999999999</v>
      </c>
      <c r="T195" s="4">
        <f t="shared" si="41"/>
        <v>11.499999999999989</v>
      </c>
      <c r="U195" s="4">
        <f t="shared" si="41"/>
        <v>11.199999999999989</v>
      </c>
      <c r="V195" s="4">
        <f t="shared" si="41"/>
        <v>10.999999999999989</v>
      </c>
      <c r="W195" s="4">
        <f t="shared" si="41"/>
        <v>10.79999999999999</v>
      </c>
      <c r="X195" s="4">
        <f t="shared" si="41"/>
        <v>10.599999999999991</v>
      </c>
      <c r="Y195" s="4">
        <f t="shared" si="41"/>
        <v>10.399999999999991</v>
      </c>
      <c r="Z195" s="4">
        <f t="shared" si="41"/>
        <v>10.199999999999992</v>
      </c>
      <c r="AA195" s="4">
        <f t="shared" si="41"/>
        <v>9.9999999999999929</v>
      </c>
      <c r="AB195" s="4">
        <f t="shared" si="41"/>
        <v>9.7999999999999936</v>
      </c>
      <c r="AC195" s="4">
        <f t="shared" si="41"/>
        <v>9.5999999999999943</v>
      </c>
      <c r="AD195" s="4">
        <f t="shared" si="41"/>
        <v>9.399999999999995</v>
      </c>
      <c r="AE195" s="4">
        <f t="shared" si="41"/>
        <v>9.1999999999999957</v>
      </c>
      <c r="AF195" s="4">
        <f t="shared" si="41"/>
        <v>8.9999999999999964</v>
      </c>
      <c r="AG195" s="4">
        <f t="shared" si="41"/>
        <v>8.7999999999999972</v>
      </c>
      <c r="AH195" s="4">
        <f t="shared" si="41"/>
        <v>8.5999999999999979</v>
      </c>
      <c r="AI195" s="4">
        <f t="shared" si="41"/>
        <v>8.3999999999999986</v>
      </c>
      <c r="AJ195" s="4">
        <f t="shared" si="41"/>
        <v>8.1999999999999993</v>
      </c>
      <c r="AK195" s="4">
        <f t="shared" si="41"/>
        <v>7.9999999999999991</v>
      </c>
    </row>
    <row r="196" spans="3:37" outlineLevel="1" x14ac:dyDescent="0.25">
      <c r="C196" s="38">
        <v>16.7</v>
      </c>
      <c r="D196" s="4">
        <f t="shared" si="41"/>
        <v>16.399999999999999</v>
      </c>
      <c r="E196" s="4">
        <f t="shared" si="41"/>
        <v>16.099999999999998</v>
      </c>
      <c r="F196" s="4">
        <f t="shared" si="41"/>
        <v>15.799999999999997</v>
      </c>
      <c r="G196" s="4">
        <f t="shared" si="41"/>
        <v>15.499999999999996</v>
      </c>
      <c r="H196" s="4">
        <f t="shared" si="41"/>
        <v>15.199999999999996</v>
      </c>
      <c r="I196" s="4">
        <f t="shared" si="41"/>
        <v>14.899999999999995</v>
      </c>
      <c r="J196" s="4">
        <f t="shared" si="41"/>
        <v>14.599999999999994</v>
      </c>
      <c r="K196" s="4">
        <f t="shared" si="41"/>
        <v>14.299999999999994</v>
      </c>
      <c r="L196" s="4">
        <f t="shared" si="41"/>
        <v>13.999999999999993</v>
      </c>
      <c r="M196" s="4">
        <f t="shared" si="41"/>
        <v>13.699999999999992</v>
      </c>
      <c r="N196" s="4">
        <f t="shared" si="41"/>
        <v>13.399999999999991</v>
      </c>
      <c r="O196" s="4">
        <f t="shared" si="41"/>
        <v>13.099999999999991</v>
      </c>
      <c r="P196" s="4">
        <f t="shared" si="41"/>
        <v>12.79999999999999</v>
      </c>
      <c r="Q196" s="4">
        <f t="shared" si="41"/>
        <v>12.499999999999989</v>
      </c>
      <c r="R196" s="4">
        <f t="shared" si="41"/>
        <v>12.199999999999989</v>
      </c>
      <c r="S196" s="4">
        <f t="shared" si="41"/>
        <v>11.899999999999988</v>
      </c>
      <c r="T196" s="4">
        <f t="shared" si="41"/>
        <v>11.599999999999987</v>
      </c>
      <c r="U196" s="4">
        <f t="shared" si="41"/>
        <v>11.299999999999986</v>
      </c>
      <c r="V196" s="4">
        <f t="shared" si="41"/>
        <v>11.099999999999987</v>
      </c>
      <c r="W196" s="4">
        <f t="shared" si="41"/>
        <v>10.899999999999988</v>
      </c>
      <c r="X196" s="4">
        <f t="shared" si="41"/>
        <v>10.699999999999989</v>
      </c>
      <c r="Y196" s="4">
        <f t="shared" si="41"/>
        <v>10.499999999999989</v>
      </c>
      <c r="Z196" s="4">
        <f t="shared" si="41"/>
        <v>10.29999999999999</v>
      </c>
      <c r="AA196" s="4">
        <f t="shared" si="41"/>
        <v>10.099999999999991</v>
      </c>
      <c r="AB196" s="4">
        <f t="shared" si="41"/>
        <v>9.8999999999999915</v>
      </c>
      <c r="AC196" s="4">
        <f t="shared" si="41"/>
        <v>9.6999999999999922</v>
      </c>
      <c r="AD196" s="4">
        <f t="shared" si="41"/>
        <v>9.4999999999999929</v>
      </c>
      <c r="AE196" s="4">
        <f t="shared" si="41"/>
        <v>9.2999999999999936</v>
      </c>
      <c r="AF196" s="4">
        <f t="shared" si="41"/>
        <v>9.0999999999999943</v>
      </c>
      <c r="AG196" s="4">
        <f t="shared" si="41"/>
        <v>8.899999999999995</v>
      </c>
      <c r="AH196" s="4">
        <f t="shared" si="41"/>
        <v>8.6999999999999957</v>
      </c>
      <c r="AI196" s="4">
        <f t="shared" si="41"/>
        <v>8.4999999999999964</v>
      </c>
      <c r="AJ196" s="4">
        <f t="shared" si="41"/>
        <v>8.2999999999999972</v>
      </c>
      <c r="AK196" s="4">
        <f t="shared" si="41"/>
        <v>8.0999999999999979</v>
      </c>
    </row>
    <row r="197" spans="3:37" outlineLevel="1" x14ac:dyDescent="0.25">
      <c r="C197" s="38">
        <v>16.8</v>
      </c>
      <c r="D197" s="4">
        <f t="shared" si="41"/>
        <v>16.5</v>
      </c>
      <c r="E197" s="4">
        <f t="shared" si="41"/>
        <v>16.2</v>
      </c>
      <c r="F197" s="4">
        <f t="shared" si="41"/>
        <v>15.899999999999999</v>
      </c>
      <c r="G197" s="4">
        <f t="shared" si="41"/>
        <v>15.599999999999998</v>
      </c>
      <c r="H197" s="4">
        <f t="shared" si="41"/>
        <v>15.299999999999997</v>
      </c>
      <c r="I197" s="4">
        <f t="shared" si="41"/>
        <v>14.999999999999996</v>
      </c>
      <c r="J197" s="4">
        <f t="shared" si="41"/>
        <v>14.699999999999996</v>
      </c>
      <c r="K197" s="4">
        <f t="shared" si="41"/>
        <v>14.399999999999995</v>
      </c>
      <c r="L197" s="4">
        <f t="shared" si="41"/>
        <v>14.099999999999994</v>
      </c>
      <c r="M197" s="4">
        <f t="shared" si="41"/>
        <v>13.799999999999994</v>
      </c>
      <c r="N197" s="4">
        <f t="shared" si="41"/>
        <v>13.499999999999993</v>
      </c>
      <c r="O197" s="4">
        <f t="shared" si="41"/>
        <v>13.199999999999992</v>
      </c>
      <c r="P197" s="4">
        <f t="shared" si="41"/>
        <v>12.899999999999991</v>
      </c>
      <c r="Q197" s="4">
        <f t="shared" si="41"/>
        <v>12.599999999999991</v>
      </c>
      <c r="R197" s="4">
        <f t="shared" si="41"/>
        <v>12.29999999999999</v>
      </c>
      <c r="S197" s="4">
        <f t="shared" si="41"/>
        <v>11.999999999999989</v>
      </c>
      <c r="T197" s="4">
        <f t="shared" si="41"/>
        <v>11.699999999999989</v>
      </c>
      <c r="U197" s="4">
        <f t="shared" si="41"/>
        <v>11.399999999999988</v>
      </c>
      <c r="V197" s="4">
        <f t="shared" si="41"/>
        <v>11.199999999999989</v>
      </c>
      <c r="W197" s="4">
        <f t="shared" si="41"/>
        <v>10.999999999999989</v>
      </c>
      <c r="X197" s="4">
        <f t="shared" si="41"/>
        <v>10.79999999999999</v>
      </c>
      <c r="Y197" s="4">
        <f t="shared" si="41"/>
        <v>10.599999999999991</v>
      </c>
      <c r="Z197" s="4">
        <f t="shared" si="41"/>
        <v>10.399999999999991</v>
      </c>
      <c r="AA197" s="4">
        <f t="shared" si="41"/>
        <v>10.199999999999992</v>
      </c>
      <c r="AB197" s="4">
        <f t="shared" si="41"/>
        <v>9.9999999999999929</v>
      </c>
      <c r="AC197" s="4">
        <f t="shared" si="41"/>
        <v>9.7999999999999936</v>
      </c>
      <c r="AD197" s="4">
        <f t="shared" si="41"/>
        <v>9.5999999999999943</v>
      </c>
      <c r="AE197" s="4">
        <f t="shared" si="41"/>
        <v>9.399999999999995</v>
      </c>
      <c r="AF197" s="4">
        <f t="shared" si="41"/>
        <v>9.1999999999999957</v>
      </c>
      <c r="AG197" s="4">
        <f t="shared" si="41"/>
        <v>8.9999999999999964</v>
      </c>
      <c r="AH197" s="4">
        <f t="shared" si="41"/>
        <v>8.7999999999999972</v>
      </c>
      <c r="AI197" s="4">
        <f t="shared" si="41"/>
        <v>8.5999999999999979</v>
      </c>
      <c r="AJ197" s="4">
        <f t="shared" si="41"/>
        <v>8.3999999999999986</v>
      </c>
      <c r="AK197" s="4">
        <f t="shared" si="41"/>
        <v>8.1999999999999993</v>
      </c>
    </row>
    <row r="198" spans="3:37" outlineLevel="1" x14ac:dyDescent="0.25">
      <c r="C198" s="38">
        <v>16.899999999999999</v>
      </c>
      <c r="D198" s="4">
        <f t="shared" si="41"/>
        <v>16.599999999999998</v>
      </c>
      <c r="E198" s="4">
        <f t="shared" si="41"/>
        <v>16.299999999999997</v>
      </c>
      <c r="F198" s="4">
        <f t="shared" si="41"/>
        <v>15.999999999999996</v>
      </c>
      <c r="G198" s="4">
        <f t="shared" si="41"/>
        <v>15.699999999999996</v>
      </c>
      <c r="H198" s="4">
        <f t="shared" si="41"/>
        <v>15.399999999999995</v>
      </c>
      <c r="I198" s="4">
        <f t="shared" si="41"/>
        <v>15.099999999999994</v>
      </c>
      <c r="J198" s="4">
        <f t="shared" si="41"/>
        <v>14.799999999999994</v>
      </c>
      <c r="K198" s="4">
        <f t="shared" si="41"/>
        <v>14.499999999999993</v>
      </c>
      <c r="L198" s="4">
        <f t="shared" si="41"/>
        <v>14.199999999999992</v>
      </c>
      <c r="M198" s="4">
        <f t="shared" si="41"/>
        <v>13.899999999999991</v>
      </c>
      <c r="N198" s="4">
        <f t="shared" si="41"/>
        <v>13.599999999999991</v>
      </c>
      <c r="O198" s="4">
        <f t="shared" si="41"/>
        <v>13.29999999999999</v>
      </c>
      <c r="P198" s="4">
        <f t="shared" si="41"/>
        <v>12.999999999999989</v>
      </c>
      <c r="Q198" s="4">
        <f t="shared" si="41"/>
        <v>12.699999999999989</v>
      </c>
      <c r="R198" s="4">
        <f t="shared" si="41"/>
        <v>12.399999999999988</v>
      </c>
      <c r="S198" s="4">
        <f t="shared" si="41"/>
        <v>12.099999999999987</v>
      </c>
      <c r="T198" s="4">
        <f t="shared" si="41"/>
        <v>11.799999999999986</v>
      </c>
      <c r="U198" s="4">
        <f t="shared" si="41"/>
        <v>11.499999999999986</v>
      </c>
      <c r="V198" s="4">
        <f t="shared" si="41"/>
        <v>11.199999999999985</v>
      </c>
      <c r="W198" s="4">
        <f t="shared" si="41"/>
        <v>10.999999999999986</v>
      </c>
      <c r="X198" s="4">
        <f t="shared" si="41"/>
        <v>10.799999999999986</v>
      </c>
      <c r="Y198" s="4">
        <f t="shared" si="41"/>
        <v>10.599999999999987</v>
      </c>
      <c r="Z198" s="4">
        <f t="shared" si="41"/>
        <v>10.399999999999988</v>
      </c>
      <c r="AA198" s="4">
        <f t="shared" si="41"/>
        <v>10.199999999999989</v>
      </c>
      <c r="AB198" s="4">
        <f t="shared" si="41"/>
        <v>9.9999999999999893</v>
      </c>
      <c r="AC198" s="4">
        <f t="shared" si="41"/>
        <v>9.7999999999999901</v>
      </c>
      <c r="AD198" s="4">
        <f t="shared" si="41"/>
        <v>9.5999999999999908</v>
      </c>
      <c r="AE198" s="4">
        <f t="shared" si="41"/>
        <v>9.3999999999999915</v>
      </c>
      <c r="AF198" s="4">
        <f t="shared" si="41"/>
        <v>9.1999999999999922</v>
      </c>
      <c r="AG198" s="4">
        <f t="shared" si="41"/>
        <v>8.9999999999999929</v>
      </c>
      <c r="AH198" s="4">
        <f t="shared" si="41"/>
        <v>8.7999999999999936</v>
      </c>
      <c r="AI198" s="4">
        <f t="shared" si="41"/>
        <v>8.5999999999999943</v>
      </c>
      <c r="AJ198" s="4">
        <f t="shared" si="41"/>
        <v>8.399999999999995</v>
      </c>
      <c r="AK198" s="4">
        <f t="shared" si="41"/>
        <v>8.1999999999999957</v>
      </c>
    </row>
    <row r="199" spans="3:37" outlineLevel="1" x14ac:dyDescent="0.25">
      <c r="C199" s="38">
        <v>17</v>
      </c>
      <c r="D199" s="4">
        <f t="shared" si="41"/>
        <v>16.7</v>
      </c>
      <c r="E199" s="4">
        <f t="shared" si="41"/>
        <v>16.399999999999999</v>
      </c>
      <c r="F199" s="4">
        <f t="shared" si="41"/>
        <v>16.099999999999998</v>
      </c>
      <c r="G199" s="4">
        <f t="shared" si="41"/>
        <v>15.799999999999997</v>
      </c>
      <c r="H199" s="4">
        <f t="shared" si="41"/>
        <v>15.499999999999996</v>
      </c>
      <c r="I199" s="4">
        <f t="shared" si="41"/>
        <v>15.199999999999996</v>
      </c>
      <c r="J199" s="4">
        <f t="shared" si="41"/>
        <v>14.899999999999995</v>
      </c>
      <c r="K199" s="4">
        <f t="shared" si="41"/>
        <v>14.599999999999994</v>
      </c>
      <c r="L199" s="4">
        <f t="shared" si="41"/>
        <v>14.299999999999994</v>
      </c>
      <c r="M199" s="4">
        <f t="shared" si="41"/>
        <v>13.999999999999993</v>
      </c>
      <c r="N199" s="4">
        <f t="shared" si="41"/>
        <v>13.699999999999992</v>
      </c>
      <c r="O199" s="4">
        <f t="shared" si="41"/>
        <v>13.399999999999991</v>
      </c>
      <c r="P199" s="4">
        <f t="shared" si="41"/>
        <v>13.099999999999991</v>
      </c>
      <c r="Q199" s="4">
        <f t="shared" si="41"/>
        <v>12.79999999999999</v>
      </c>
      <c r="R199" s="4">
        <f t="shared" si="41"/>
        <v>12.499999999999989</v>
      </c>
      <c r="S199" s="4">
        <f t="shared" si="41"/>
        <v>12.199999999999989</v>
      </c>
      <c r="T199" s="4">
        <f t="shared" si="41"/>
        <v>11.899999999999988</v>
      </c>
      <c r="U199" s="4">
        <f t="shared" si="41"/>
        <v>11.599999999999987</v>
      </c>
      <c r="V199" s="4">
        <f t="shared" si="41"/>
        <v>11.299999999999986</v>
      </c>
      <c r="W199" s="4">
        <f t="shared" si="41"/>
        <v>11.099999999999987</v>
      </c>
      <c r="X199" s="4">
        <f t="shared" si="41"/>
        <v>10.899999999999988</v>
      </c>
      <c r="Y199" s="4">
        <f t="shared" si="41"/>
        <v>10.699999999999989</v>
      </c>
      <c r="Z199" s="4">
        <f t="shared" si="41"/>
        <v>10.499999999999989</v>
      </c>
      <c r="AA199" s="4">
        <f t="shared" si="41"/>
        <v>10.29999999999999</v>
      </c>
      <c r="AB199" s="4">
        <f t="shared" si="41"/>
        <v>10.099999999999991</v>
      </c>
      <c r="AC199" s="4">
        <f t="shared" si="41"/>
        <v>9.8999999999999915</v>
      </c>
      <c r="AD199" s="4">
        <f t="shared" si="41"/>
        <v>9.6999999999999922</v>
      </c>
      <c r="AE199" s="4">
        <f t="shared" si="41"/>
        <v>9.4999999999999929</v>
      </c>
      <c r="AF199" s="4">
        <f t="shared" si="41"/>
        <v>9.2999999999999936</v>
      </c>
      <c r="AG199" s="4">
        <f t="shared" si="41"/>
        <v>9.0999999999999943</v>
      </c>
      <c r="AH199" s="4">
        <f t="shared" si="41"/>
        <v>8.899999999999995</v>
      </c>
      <c r="AI199" s="4">
        <f t="shared" si="41"/>
        <v>8.6999999999999957</v>
      </c>
      <c r="AJ199" s="4">
        <f t="shared" si="41"/>
        <v>8.4999999999999964</v>
      </c>
      <c r="AK199" s="4">
        <f t="shared" si="41"/>
        <v>8.2999999999999972</v>
      </c>
    </row>
    <row r="200" spans="3:37" outlineLevel="1" x14ac:dyDescent="0.25">
      <c r="C200" s="38">
        <v>17.100000000000001</v>
      </c>
      <c r="D200" s="4">
        <f t="shared" si="41"/>
        <v>16.8</v>
      </c>
      <c r="E200" s="4">
        <f t="shared" si="41"/>
        <v>16.5</v>
      </c>
      <c r="F200" s="4">
        <f t="shared" si="41"/>
        <v>16.2</v>
      </c>
      <c r="G200" s="4">
        <f t="shared" si="41"/>
        <v>15.899999999999999</v>
      </c>
      <c r="H200" s="4">
        <f t="shared" si="41"/>
        <v>15.599999999999998</v>
      </c>
      <c r="I200" s="4">
        <f t="shared" si="41"/>
        <v>15.299999999999997</v>
      </c>
      <c r="J200" s="4">
        <f t="shared" si="41"/>
        <v>14.999999999999996</v>
      </c>
      <c r="K200" s="4">
        <f t="shared" si="41"/>
        <v>14.699999999999996</v>
      </c>
      <c r="L200" s="4">
        <f t="shared" si="41"/>
        <v>14.399999999999995</v>
      </c>
      <c r="M200" s="4">
        <f t="shared" si="41"/>
        <v>14.099999999999994</v>
      </c>
      <c r="N200" s="4">
        <f t="shared" si="41"/>
        <v>13.799999999999994</v>
      </c>
      <c r="O200" s="4">
        <f t="shared" si="41"/>
        <v>13.499999999999993</v>
      </c>
      <c r="P200" s="4">
        <f t="shared" si="41"/>
        <v>13.199999999999992</v>
      </c>
      <c r="Q200" s="4">
        <f t="shared" si="41"/>
        <v>12.899999999999991</v>
      </c>
      <c r="R200" s="4">
        <f t="shared" si="41"/>
        <v>12.599999999999991</v>
      </c>
      <c r="S200" s="4">
        <f t="shared" si="41"/>
        <v>12.29999999999999</v>
      </c>
      <c r="T200" s="4">
        <f t="shared" si="41"/>
        <v>11.999999999999989</v>
      </c>
      <c r="U200" s="4">
        <f t="shared" ref="U200:AK200" si="42">(IF(T200&lt;=4.4,T200-$E$6,IF(AND(T200&gt;=4.5,T200&lt;=11.4),T200-$E$7,IF(AND(T200&gt;=11.5,T200&lt;=18.4),T200-$E$8,IF(AND(T200&gt;=18.5,T200&lt;=26.4),T200-$E$9,IF(AND(T200&gt;=26.4,T200&lt;=36),T200-$E$10,IF(T200&gt;=37,T200-$E$11)))))))</f>
        <v>11.699999999999989</v>
      </c>
      <c r="V200" s="4">
        <f t="shared" si="42"/>
        <v>11.399999999999988</v>
      </c>
      <c r="W200" s="4">
        <f t="shared" si="42"/>
        <v>11.199999999999989</v>
      </c>
      <c r="X200" s="4">
        <f t="shared" si="42"/>
        <v>10.999999999999989</v>
      </c>
      <c r="Y200" s="4">
        <f t="shared" si="42"/>
        <v>10.79999999999999</v>
      </c>
      <c r="Z200" s="4">
        <f t="shared" si="42"/>
        <v>10.599999999999991</v>
      </c>
      <c r="AA200" s="4">
        <f t="shared" si="42"/>
        <v>10.399999999999991</v>
      </c>
      <c r="AB200" s="4">
        <f t="shared" si="42"/>
        <v>10.199999999999992</v>
      </c>
      <c r="AC200" s="4">
        <f t="shared" si="42"/>
        <v>9.9999999999999929</v>
      </c>
      <c r="AD200" s="4">
        <f t="shared" si="42"/>
        <v>9.7999999999999936</v>
      </c>
      <c r="AE200" s="4">
        <f t="shared" si="42"/>
        <v>9.5999999999999943</v>
      </c>
      <c r="AF200" s="4">
        <f t="shared" si="42"/>
        <v>9.399999999999995</v>
      </c>
      <c r="AG200" s="4">
        <f t="shared" si="42"/>
        <v>9.1999999999999957</v>
      </c>
      <c r="AH200" s="4">
        <f t="shared" si="42"/>
        <v>8.9999999999999964</v>
      </c>
      <c r="AI200" s="4">
        <f t="shared" si="42"/>
        <v>8.7999999999999972</v>
      </c>
      <c r="AJ200" s="4">
        <f t="shared" si="42"/>
        <v>8.5999999999999979</v>
      </c>
      <c r="AK200" s="4">
        <f t="shared" si="42"/>
        <v>8.3999999999999986</v>
      </c>
    </row>
    <row r="201" spans="3:37" outlineLevel="1" x14ac:dyDescent="0.25">
      <c r="C201" s="38">
        <v>17.2</v>
      </c>
      <c r="D201" s="4">
        <f t="shared" ref="D201:AK208" si="43">(IF(C201&lt;=4.4,C201-$E$6,IF(AND(C201&gt;=4.5,C201&lt;=11.4),C201-$E$7,IF(AND(C201&gt;=11.5,C201&lt;=18.4),C201-$E$8,IF(AND(C201&gt;=18.5,C201&lt;=26.4),C201-$E$9,IF(AND(C201&gt;=26.4,C201&lt;=36),C201-$E$10,IF(C201&gt;=37,C201-$E$11)))))))</f>
        <v>16.899999999999999</v>
      </c>
      <c r="E201" s="4">
        <f t="shared" si="43"/>
        <v>16.599999999999998</v>
      </c>
      <c r="F201" s="4">
        <f t="shared" si="43"/>
        <v>16.299999999999997</v>
      </c>
      <c r="G201" s="4">
        <f t="shared" si="43"/>
        <v>15.999999999999996</v>
      </c>
      <c r="H201" s="4">
        <f t="shared" si="43"/>
        <v>15.699999999999996</v>
      </c>
      <c r="I201" s="4">
        <f t="shared" si="43"/>
        <v>15.399999999999995</v>
      </c>
      <c r="J201" s="4">
        <f t="shared" si="43"/>
        <v>15.099999999999994</v>
      </c>
      <c r="K201" s="4">
        <f t="shared" si="43"/>
        <v>14.799999999999994</v>
      </c>
      <c r="L201" s="4">
        <f t="shared" si="43"/>
        <v>14.499999999999993</v>
      </c>
      <c r="M201" s="4">
        <f t="shared" si="43"/>
        <v>14.199999999999992</v>
      </c>
      <c r="N201" s="4">
        <f t="shared" si="43"/>
        <v>13.899999999999991</v>
      </c>
      <c r="O201" s="4">
        <f t="shared" si="43"/>
        <v>13.599999999999991</v>
      </c>
      <c r="P201" s="4">
        <f t="shared" si="43"/>
        <v>13.29999999999999</v>
      </c>
      <c r="Q201" s="4">
        <f t="shared" si="43"/>
        <v>12.999999999999989</v>
      </c>
      <c r="R201" s="4">
        <f t="shared" si="43"/>
        <v>12.699999999999989</v>
      </c>
      <c r="S201" s="4">
        <f t="shared" si="43"/>
        <v>12.399999999999988</v>
      </c>
      <c r="T201" s="4">
        <f t="shared" si="43"/>
        <v>12.099999999999987</v>
      </c>
      <c r="U201" s="4">
        <f t="shared" si="43"/>
        <v>11.799999999999986</v>
      </c>
      <c r="V201" s="4">
        <f t="shared" si="43"/>
        <v>11.499999999999986</v>
      </c>
      <c r="W201" s="4">
        <f t="shared" si="43"/>
        <v>11.199999999999985</v>
      </c>
      <c r="X201" s="4">
        <f t="shared" si="43"/>
        <v>10.999999999999986</v>
      </c>
      <c r="Y201" s="4">
        <f t="shared" si="43"/>
        <v>10.799999999999986</v>
      </c>
      <c r="Z201" s="4">
        <f t="shared" si="43"/>
        <v>10.599999999999987</v>
      </c>
      <c r="AA201" s="4">
        <f t="shared" si="43"/>
        <v>10.399999999999988</v>
      </c>
      <c r="AB201" s="4">
        <f t="shared" si="43"/>
        <v>10.199999999999989</v>
      </c>
      <c r="AC201" s="4">
        <f t="shared" si="43"/>
        <v>9.9999999999999893</v>
      </c>
      <c r="AD201" s="4">
        <f t="shared" si="43"/>
        <v>9.7999999999999901</v>
      </c>
      <c r="AE201" s="4">
        <f t="shared" si="43"/>
        <v>9.5999999999999908</v>
      </c>
      <c r="AF201" s="4">
        <f t="shared" si="43"/>
        <v>9.3999999999999915</v>
      </c>
      <c r="AG201" s="4">
        <f t="shared" si="43"/>
        <v>9.1999999999999922</v>
      </c>
      <c r="AH201" s="4">
        <f t="shared" si="43"/>
        <v>8.9999999999999929</v>
      </c>
      <c r="AI201" s="4">
        <f t="shared" si="43"/>
        <v>8.7999999999999936</v>
      </c>
      <c r="AJ201" s="4">
        <f t="shared" si="43"/>
        <v>8.5999999999999943</v>
      </c>
      <c r="AK201" s="4">
        <f t="shared" si="43"/>
        <v>8.399999999999995</v>
      </c>
    </row>
    <row r="202" spans="3:37" outlineLevel="1" x14ac:dyDescent="0.25">
      <c r="C202" s="38">
        <v>17.3</v>
      </c>
      <c r="D202" s="4">
        <f t="shared" si="43"/>
        <v>17</v>
      </c>
      <c r="E202" s="4">
        <f t="shared" si="43"/>
        <v>16.7</v>
      </c>
      <c r="F202" s="4">
        <f t="shared" si="43"/>
        <v>16.399999999999999</v>
      </c>
      <c r="G202" s="4">
        <f t="shared" si="43"/>
        <v>16.099999999999998</v>
      </c>
      <c r="H202" s="4">
        <f t="shared" si="43"/>
        <v>15.799999999999997</v>
      </c>
      <c r="I202" s="4">
        <f t="shared" si="43"/>
        <v>15.499999999999996</v>
      </c>
      <c r="J202" s="4">
        <f t="shared" si="43"/>
        <v>15.199999999999996</v>
      </c>
      <c r="K202" s="4">
        <f t="shared" si="43"/>
        <v>14.899999999999995</v>
      </c>
      <c r="L202" s="4">
        <f t="shared" si="43"/>
        <v>14.599999999999994</v>
      </c>
      <c r="M202" s="4">
        <f t="shared" si="43"/>
        <v>14.299999999999994</v>
      </c>
      <c r="N202" s="4">
        <f t="shared" si="43"/>
        <v>13.999999999999993</v>
      </c>
      <c r="O202" s="4">
        <f t="shared" si="43"/>
        <v>13.699999999999992</v>
      </c>
      <c r="P202" s="4">
        <f t="shared" si="43"/>
        <v>13.399999999999991</v>
      </c>
      <c r="Q202" s="4">
        <f t="shared" si="43"/>
        <v>13.099999999999991</v>
      </c>
      <c r="R202" s="4">
        <f t="shared" si="43"/>
        <v>12.79999999999999</v>
      </c>
      <c r="S202" s="4">
        <f t="shared" si="43"/>
        <v>12.499999999999989</v>
      </c>
      <c r="T202" s="4">
        <f t="shared" si="43"/>
        <v>12.199999999999989</v>
      </c>
      <c r="U202" s="4">
        <f t="shared" si="43"/>
        <v>11.899999999999988</v>
      </c>
      <c r="V202" s="4">
        <f t="shared" si="43"/>
        <v>11.599999999999987</v>
      </c>
      <c r="W202" s="4">
        <f t="shared" si="43"/>
        <v>11.299999999999986</v>
      </c>
      <c r="X202" s="4">
        <f t="shared" si="43"/>
        <v>11.099999999999987</v>
      </c>
      <c r="Y202" s="4">
        <f t="shared" si="43"/>
        <v>10.899999999999988</v>
      </c>
      <c r="Z202" s="4">
        <f t="shared" si="43"/>
        <v>10.699999999999989</v>
      </c>
      <c r="AA202" s="4">
        <f t="shared" si="43"/>
        <v>10.499999999999989</v>
      </c>
      <c r="AB202" s="4">
        <f t="shared" si="43"/>
        <v>10.29999999999999</v>
      </c>
      <c r="AC202" s="4">
        <f t="shared" si="43"/>
        <v>10.099999999999991</v>
      </c>
      <c r="AD202" s="4">
        <f t="shared" si="43"/>
        <v>9.8999999999999915</v>
      </c>
      <c r="AE202" s="4">
        <f t="shared" si="43"/>
        <v>9.6999999999999922</v>
      </c>
      <c r="AF202" s="4">
        <f t="shared" si="43"/>
        <v>9.4999999999999929</v>
      </c>
      <c r="AG202" s="4">
        <f t="shared" si="43"/>
        <v>9.2999999999999936</v>
      </c>
      <c r="AH202" s="4">
        <f t="shared" si="43"/>
        <v>9.0999999999999943</v>
      </c>
      <c r="AI202" s="4">
        <f t="shared" si="43"/>
        <v>8.899999999999995</v>
      </c>
      <c r="AJ202" s="4">
        <f t="shared" si="43"/>
        <v>8.6999999999999957</v>
      </c>
      <c r="AK202" s="4">
        <f t="shared" si="43"/>
        <v>8.4999999999999964</v>
      </c>
    </row>
    <row r="203" spans="3:37" outlineLevel="1" x14ac:dyDescent="0.25">
      <c r="C203" s="38">
        <v>17.399999999999999</v>
      </c>
      <c r="D203" s="4">
        <f t="shared" si="43"/>
        <v>17.099999999999998</v>
      </c>
      <c r="E203" s="4">
        <f t="shared" si="43"/>
        <v>16.799999999999997</v>
      </c>
      <c r="F203" s="4">
        <f t="shared" si="43"/>
        <v>16.499999999999996</v>
      </c>
      <c r="G203" s="4">
        <f t="shared" si="43"/>
        <v>16.199999999999996</v>
      </c>
      <c r="H203" s="4">
        <f t="shared" si="43"/>
        <v>15.899999999999995</v>
      </c>
      <c r="I203" s="4">
        <f t="shared" si="43"/>
        <v>15.599999999999994</v>
      </c>
      <c r="J203" s="4">
        <f t="shared" si="43"/>
        <v>15.299999999999994</v>
      </c>
      <c r="K203" s="4">
        <f t="shared" si="43"/>
        <v>14.999999999999993</v>
      </c>
      <c r="L203" s="4">
        <f t="shared" si="43"/>
        <v>14.699999999999992</v>
      </c>
      <c r="M203" s="4">
        <f t="shared" si="43"/>
        <v>14.399999999999991</v>
      </c>
      <c r="N203" s="4">
        <f t="shared" si="43"/>
        <v>14.099999999999991</v>
      </c>
      <c r="O203" s="4">
        <f t="shared" si="43"/>
        <v>13.79999999999999</v>
      </c>
      <c r="P203" s="4">
        <f t="shared" si="43"/>
        <v>13.499999999999989</v>
      </c>
      <c r="Q203" s="4">
        <f t="shared" si="43"/>
        <v>13.199999999999989</v>
      </c>
      <c r="R203" s="4">
        <f t="shared" si="43"/>
        <v>12.899999999999988</v>
      </c>
      <c r="S203" s="4">
        <f t="shared" si="43"/>
        <v>12.599999999999987</v>
      </c>
      <c r="T203" s="4">
        <f t="shared" si="43"/>
        <v>12.299999999999986</v>
      </c>
      <c r="U203" s="4">
        <f t="shared" si="43"/>
        <v>11.999999999999986</v>
      </c>
      <c r="V203" s="4">
        <f t="shared" si="43"/>
        <v>11.699999999999985</v>
      </c>
      <c r="W203" s="4">
        <f t="shared" si="43"/>
        <v>11.399999999999984</v>
      </c>
      <c r="X203" s="4">
        <f t="shared" si="43"/>
        <v>11.199999999999985</v>
      </c>
      <c r="Y203" s="4">
        <f t="shared" si="43"/>
        <v>10.999999999999986</v>
      </c>
      <c r="Z203" s="4">
        <f t="shared" si="43"/>
        <v>10.799999999999986</v>
      </c>
      <c r="AA203" s="4">
        <f t="shared" si="43"/>
        <v>10.599999999999987</v>
      </c>
      <c r="AB203" s="4">
        <f t="shared" si="43"/>
        <v>10.399999999999988</v>
      </c>
      <c r="AC203" s="4">
        <f t="shared" si="43"/>
        <v>10.199999999999989</v>
      </c>
      <c r="AD203" s="4">
        <f t="shared" si="43"/>
        <v>9.9999999999999893</v>
      </c>
      <c r="AE203" s="4">
        <f t="shared" si="43"/>
        <v>9.7999999999999901</v>
      </c>
      <c r="AF203" s="4">
        <f t="shared" si="43"/>
        <v>9.5999999999999908</v>
      </c>
      <c r="AG203" s="4">
        <f t="shared" si="43"/>
        <v>9.3999999999999915</v>
      </c>
      <c r="AH203" s="4">
        <f t="shared" si="43"/>
        <v>9.1999999999999922</v>
      </c>
      <c r="AI203" s="4">
        <f t="shared" si="43"/>
        <v>8.9999999999999929</v>
      </c>
      <c r="AJ203" s="4">
        <f t="shared" si="43"/>
        <v>8.7999999999999936</v>
      </c>
      <c r="AK203" s="4">
        <f t="shared" si="43"/>
        <v>8.5999999999999943</v>
      </c>
    </row>
    <row r="204" spans="3:37" outlineLevel="1" x14ac:dyDescent="0.25">
      <c r="C204" s="38">
        <v>17.5</v>
      </c>
      <c r="D204" s="4">
        <f t="shared" si="43"/>
        <v>17.2</v>
      </c>
      <c r="E204" s="4">
        <f t="shared" si="43"/>
        <v>16.899999999999999</v>
      </c>
      <c r="F204" s="4">
        <f t="shared" si="43"/>
        <v>16.599999999999998</v>
      </c>
      <c r="G204" s="4">
        <f t="shared" si="43"/>
        <v>16.299999999999997</v>
      </c>
      <c r="H204" s="4">
        <f t="shared" si="43"/>
        <v>15.999999999999996</v>
      </c>
      <c r="I204" s="4">
        <f t="shared" si="43"/>
        <v>15.699999999999996</v>
      </c>
      <c r="J204" s="4">
        <f t="shared" si="43"/>
        <v>15.399999999999995</v>
      </c>
      <c r="K204" s="4">
        <f t="shared" si="43"/>
        <v>15.099999999999994</v>
      </c>
      <c r="L204" s="4">
        <f t="shared" si="43"/>
        <v>14.799999999999994</v>
      </c>
      <c r="M204" s="4">
        <f t="shared" si="43"/>
        <v>14.499999999999993</v>
      </c>
      <c r="N204" s="4">
        <f t="shared" si="43"/>
        <v>14.199999999999992</v>
      </c>
      <c r="O204" s="4">
        <f t="shared" si="43"/>
        <v>13.899999999999991</v>
      </c>
      <c r="P204" s="4">
        <f t="shared" si="43"/>
        <v>13.599999999999991</v>
      </c>
      <c r="Q204" s="4">
        <f t="shared" si="43"/>
        <v>13.29999999999999</v>
      </c>
      <c r="R204" s="4">
        <f t="shared" si="43"/>
        <v>12.999999999999989</v>
      </c>
      <c r="S204" s="4">
        <f t="shared" si="43"/>
        <v>12.699999999999989</v>
      </c>
      <c r="T204" s="4">
        <f t="shared" si="43"/>
        <v>12.399999999999988</v>
      </c>
      <c r="U204" s="4">
        <f t="shared" si="43"/>
        <v>12.099999999999987</v>
      </c>
      <c r="V204" s="4">
        <f t="shared" si="43"/>
        <v>11.799999999999986</v>
      </c>
      <c r="W204" s="4">
        <f t="shared" si="43"/>
        <v>11.499999999999986</v>
      </c>
      <c r="X204" s="4">
        <f t="shared" si="43"/>
        <v>11.199999999999985</v>
      </c>
      <c r="Y204" s="4">
        <f t="shared" si="43"/>
        <v>10.999999999999986</v>
      </c>
      <c r="Z204" s="4">
        <f t="shared" si="43"/>
        <v>10.799999999999986</v>
      </c>
      <c r="AA204" s="4">
        <f t="shared" si="43"/>
        <v>10.599999999999987</v>
      </c>
      <c r="AB204" s="4">
        <f t="shared" si="43"/>
        <v>10.399999999999988</v>
      </c>
      <c r="AC204" s="4">
        <f t="shared" si="43"/>
        <v>10.199999999999989</v>
      </c>
      <c r="AD204" s="4">
        <f t="shared" si="43"/>
        <v>9.9999999999999893</v>
      </c>
      <c r="AE204" s="4">
        <f t="shared" si="43"/>
        <v>9.7999999999999901</v>
      </c>
      <c r="AF204" s="4">
        <f t="shared" si="43"/>
        <v>9.5999999999999908</v>
      </c>
      <c r="AG204" s="4">
        <f t="shared" si="43"/>
        <v>9.3999999999999915</v>
      </c>
      <c r="AH204" s="4">
        <f t="shared" si="43"/>
        <v>9.1999999999999922</v>
      </c>
      <c r="AI204" s="4">
        <f t="shared" si="43"/>
        <v>8.9999999999999929</v>
      </c>
      <c r="AJ204" s="4">
        <f t="shared" si="43"/>
        <v>8.7999999999999936</v>
      </c>
      <c r="AK204" s="4">
        <f t="shared" si="43"/>
        <v>8.5999999999999943</v>
      </c>
    </row>
    <row r="205" spans="3:37" outlineLevel="1" x14ac:dyDescent="0.25">
      <c r="C205" s="38">
        <v>17.600000000000001</v>
      </c>
      <c r="D205" s="4">
        <f t="shared" si="43"/>
        <v>17.3</v>
      </c>
      <c r="E205" s="4">
        <f t="shared" si="43"/>
        <v>17</v>
      </c>
      <c r="F205" s="4">
        <f t="shared" si="43"/>
        <v>16.7</v>
      </c>
      <c r="G205" s="4">
        <f t="shared" si="43"/>
        <v>16.399999999999999</v>
      </c>
      <c r="H205" s="4">
        <f t="shared" si="43"/>
        <v>16.099999999999998</v>
      </c>
      <c r="I205" s="4">
        <f t="shared" si="43"/>
        <v>15.799999999999997</v>
      </c>
      <c r="J205" s="4">
        <f t="shared" si="43"/>
        <v>15.499999999999996</v>
      </c>
      <c r="K205" s="4">
        <f t="shared" si="43"/>
        <v>15.199999999999996</v>
      </c>
      <c r="L205" s="4">
        <f t="shared" si="43"/>
        <v>14.899999999999995</v>
      </c>
      <c r="M205" s="4">
        <f t="shared" si="43"/>
        <v>14.599999999999994</v>
      </c>
      <c r="N205" s="4">
        <f t="shared" si="43"/>
        <v>14.299999999999994</v>
      </c>
      <c r="O205" s="4">
        <f t="shared" si="43"/>
        <v>13.999999999999993</v>
      </c>
      <c r="P205" s="4">
        <f t="shared" si="43"/>
        <v>13.699999999999992</v>
      </c>
      <c r="Q205" s="4">
        <f t="shared" si="43"/>
        <v>13.399999999999991</v>
      </c>
      <c r="R205" s="4">
        <f t="shared" si="43"/>
        <v>13.099999999999991</v>
      </c>
      <c r="S205" s="4">
        <f t="shared" si="43"/>
        <v>12.79999999999999</v>
      </c>
      <c r="T205" s="4">
        <f t="shared" si="43"/>
        <v>12.499999999999989</v>
      </c>
      <c r="U205" s="4">
        <f t="shared" si="43"/>
        <v>12.199999999999989</v>
      </c>
      <c r="V205" s="4">
        <f t="shared" si="43"/>
        <v>11.899999999999988</v>
      </c>
      <c r="W205" s="4">
        <f t="shared" si="43"/>
        <v>11.599999999999987</v>
      </c>
      <c r="X205" s="4">
        <f t="shared" si="43"/>
        <v>11.299999999999986</v>
      </c>
      <c r="Y205" s="4">
        <f t="shared" si="43"/>
        <v>11.099999999999987</v>
      </c>
      <c r="Z205" s="4">
        <f t="shared" si="43"/>
        <v>10.899999999999988</v>
      </c>
      <c r="AA205" s="4">
        <f t="shared" si="43"/>
        <v>10.699999999999989</v>
      </c>
      <c r="AB205" s="4">
        <f t="shared" si="43"/>
        <v>10.499999999999989</v>
      </c>
      <c r="AC205" s="4">
        <f t="shared" si="43"/>
        <v>10.29999999999999</v>
      </c>
      <c r="AD205" s="4">
        <f t="shared" si="43"/>
        <v>10.099999999999991</v>
      </c>
      <c r="AE205" s="4">
        <f t="shared" si="43"/>
        <v>9.8999999999999915</v>
      </c>
      <c r="AF205" s="4">
        <f t="shared" si="43"/>
        <v>9.6999999999999922</v>
      </c>
      <c r="AG205" s="4">
        <f t="shared" si="43"/>
        <v>9.4999999999999929</v>
      </c>
      <c r="AH205" s="4">
        <f t="shared" si="43"/>
        <v>9.2999999999999936</v>
      </c>
      <c r="AI205" s="4">
        <f t="shared" si="43"/>
        <v>9.0999999999999943</v>
      </c>
      <c r="AJ205" s="4">
        <f t="shared" si="43"/>
        <v>8.899999999999995</v>
      </c>
      <c r="AK205" s="4">
        <f t="shared" si="43"/>
        <v>8.6999999999999957</v>
      </c>
    </row>
    <row r="206" spans="3:37" outlineLevel="1" x14ac:dyDescent="0.25">
      <c r="C206" s="38">
        <v>17.7</v>
      </c>
      <c r="D206" s="4">
        <f t="shared" si="43"/>
        <v>17.399999999999999</v>
      </c>
      <c r="E206" s="4">
        <f t="shared" si="43"/>
        <v>17.099999999999998</v>
      </c>
      <c r="F206" s="4">
        <f t="shared" si="43"/>
        <v>16.799999999999997</v>
      </c>
      <c r="G206" s="4">
        <f t="shared" si="43"/>
        <v>16.499999999999996</v>
      </c>
      <c r="H206" s="4">
        <f t="shared" si="43"/>
        <v>16.199999999999996</v>
      </c>
      <c r="I206" s="4">
        <f t="shared" si="43"/>
        <v>15.899999999999995</v>
      </c>
      <c r="J206" s="4">
        <f t="shared" si="43"/>
        <v>15.599999999999994</v>
      </c>
      <c r="K206" s="4">
        <f t="shared" si="43"/>
        <v>15.299999999999994</v>
      </c>
      <c r="L206" s="4">
        <f t="shared" si="43"/>
        <v>14.999999999999993</v>
      </c>
      <c r="M206" s="4">
        <f t="shared" si="43"/>
        <v>14.699999999999992</v>
      </c>
      <c r="N206" s="4">
        <f t="shared" si="43"/>
        <v>14.399999999999991</v>
      </c>
      <c r="O206" s="4">
        <f t="shared" si="43"/>
        <v>14.099999999999991</v>
      </c>
      <c r="P206" s="4">
        <f t="shared" si="43"/>
        <v>13.79999999999999</v>
      </c>
      <c r="Q206" s="4">
        <f t="shared" si="43"/>
        <v>13.499999999999989</v>
      </c>
      <c r="R206" s="4">
        <f t="shared" si="43"/>
        <v>13.199999999999989</v>
      </c>
      <c r="S206" s="4">
        <f t="shared" si="43"/>
        <v>12.899999999999988</v>
      </c>
      <c r="T206" s="4">
        <f t="shared" si="43"/>
        <v>12.599999999999987</v>
      </c>
      <c r="U206" s="4">
        <f t="shared" si="43"/>
        <v>12.299999999999986</v>
      </c>
      <c r="V206" s="4">
        <f t="shared" si="43"/>
        <v>11.999999999999986</v>
      </c>
      <c r="W206" s="4">
        <f t="shared" si="43"/>
        <v>11.699999999999985</v>
      </c>
      <c r="X206" s="4">
        <f t="shared" si="43"/>
        <v>11.399999999999984</v>
      </c>
      <c r="Y206" s="4">
        <f t="shared" si="43"/>
        <v>11.199999999999985</v>
      </c>
      <c r="Z206" s="4">
        <f t="shared" si="43"/>
        <v>10.999999999999986</v>
      </c>
      <c r="AA206" s="4">
        <f t="shared" si="43"/>
        <v>10.799999999999986</v>
      </c>
      <c r="AB206" s="4">
        <f t="shared" si="43"/>
        <v>10.599999999999987</v>
      </c>
      <c r="AC206" s="4">
        <f t="shared" si="43"/>
        <v>10.399999999999988</v>
      </c>
      <c r="AD206" s="4">
        <f t="shared" si="43"/>
        <v>10.199999999999989</v>
      </c>
      <c r="AE206" s="4">
        <f t="shared" si="43"/>
        <v>9.9999999999999893</v>
      </c>
      <c r="AF206" s="4">
        <f t="shared" si="43"/>
        <v>9.7999999999999901</v>
      </c>
      <c r="AG206" s="4">
        <f t="shared" si="43"/>
        <v>9.5999999999999908</v>
      </c>
      <c r="AH206" s="4">
        <f t="shared" si="43"/>
        <v>9.3999999999999915</v>
      </c>
      <c r="AI206" s="4">
        <f t="shared" si="43"/>
        <v>9.1999999999999922</v>
      </c>
      <c r="AJ206" s="4">
        <f t="shared" si="43"/>
        <v>8.9999999999999929</v>
      </c>
      <c r="AK206" s="4">
        <f t="shared" si="43"/>
        <v>8.7999999999999936</v>
      </c>
    </row>
    <row r="207" spans="3:37" outlineLevel="1" x14ac:dyDescent="0.25">
      <c r="C207" s="38">
        <v>17.8</v>
      </c>
      <c r="D207" s="4">
        <f t="shared" si="43"/>
        <v>17.5</v>
      </c>
      <c r="E207" s="4">
        <f t="shared" si="43"/>
        <v>17.2</v>
      </c>
      <c r="F207" s="4">
        <f t="shared" si="43"/>
        <v>16.899999999999999</v>
      </c>
      <c r="G207" s="4">
        <f t="shared" si="43"/>
        <v>16.599999999999998</v>
      </c>
      <c r="H207" s="4">
        <f t="shared" si="43"/>
        <v>16.299999999999997</v>
      </c>
      <c r="I207" s="4">
        <f t="shared" si="43"/>
        <v>15.999999999999996</v>
      </c>
      <c r="J207" s="4">
        <f t="shared" si="43"/>
        <v>15.699999999999996</v>
      </c>
      <c r="K207" s="4">
        <f t="shared" si="43"/>
        <v>15.399999999999995</v>
      </c>
      <c r="L207" s="4">
        <f t="shared" si="43"/>
        <v>15.099999999999994</v>
      </c>
      <c r="M207" s="4">
        <f t="shared" si="43"/>
        <v>14.799999999999994</v>
      </c>
      <c r="N207" s="4">
        <f t="shared" si="43"/>
        <v>14.499999999999993</v>
      </c>
      <c r="O207" s="4">
        <f t="shared" si="43"/>
        <v>14.199999999999992</v>
      </c>
      <c r="P207" s="4">
        <f t="shared" si="43"/>
        <v>13.899999999999991</v>
      </c>
      <c r="Q207" s="4">
        <f t="shared" si="43"/>
        <v>13.599999999999991</v>
      </c>
      <c r="R207" s="4">
        <f t="shared" si="43"/>
        <v>13.29999999999999</v>
      </c>
      <c r="S207" s="4">
        <f t="shared" si="43"/>
        <v>12.999999999999989</v>
      </c>
      <c r="T207" s="4">
        <f t="shared" si="43"/>
        <v>12.699999999999989</v>
      </c>
      <c r="U207" s="4">
        <f t="shared" si="43"/>
        <v>12.399999999999988</v>
      </c>
      <c r="V207" s="4">
        <f t="shared" si="43"/>
        <v>12.099999999999987</v>
      </c>
      <c r="W207" s="4">
        <f t="shared" si="43"/>
        <v>11.799999999999986</v>
      </c>
      <c r="X207" s="4">
        <f t="shared" si="43"/>
        <v>11.499999999999986</v>
      </c>
      <c r="Y207" s="4">
        <f t="shared" si="43"/>
        <v>11.199999999999985</v>
      </c>
      <c r="Z207" s="4">
        <f t="shared" si="43"/>
        <v>10.999999999999986</v>
      </c>
      <c r="AA207" s="4">
        <f t="shared" si="43"/>
        <v>10.799999999999986</v>
      </c>
      <c r="AB207" s="4">
        <f t="shared" si="43"/>
        <v>10.599999999999987</v>
      </c>
      <c r="AC207" s="4">
        <f t="shared" si="43"/>
        <v>10.399999999999988</v>
      </c>
      <c r="AD207" s="4">
        <f t="shared" si="43"/>
        <v>10.199999999999989</v>
      </c>
      <c r="AE207" s="4">
        <f t="shared" si="43"/>
        <v>9.9999999999999893</v>
      </c>
      <c r="AF207" s="4">
        <f t="shared" si="43"/>
        <v>9.7999999999999901</v>
      </c>
      <c r="AG207" s="4">
        <f t="shared" si="43"/>
        <v>9.5999999999999908</v>
      </c>
      <c r="AH207" s="4">
        <f t="shared" si="43"/>
        <v>9.3999999999999915</v>
      </c>
      <c r="AI207" s="4">
        <f t="shared" si="43"/>
        <v>9.1999999999999922</v>
      </c>
      <c r="AJ207" s="4">
        <f t="shared" si="43"/>
        <v>8.9999999999999929</v>
      </c>
      <c r="AK207" s="4">
        <f t="shared" si="43"/>
        <v>8.7999999999999936</v>
      </c>
    </row>
    <row r="208" spans="3:37" outlineLevel="1" x14ac:dyDescent="0.25">
      <c r="C208" s="38">
        <v>17.899999999999999</v>
      </c>
      <c r="D208" s="4">
        <f t="shared" si="43"/>
        <v>17.599999999999998</v>
      </c>
      <c r="E208" s="4">
        <f t="shared" si="43"/>
        <v>17.299999999999997</v>
      </c>
      <c r="F208" s="4">
        <f t="shared" si="43"/>
        <v>16.999999999999996</v>
      </c>
      <c r="G208" s="4">
        <f t="shared" si="43"/>
        <v>16.699999999999996</v>
      </c>
      <c r="H208" s="4">
        <f t="shared" si="43"/>
        <v>16.399999999999995</v>
      </c>
      <c r="I208" s="4">
        <f t="shared" si="43"/>
        <v>16.099999999999994</v>
      </c>
      <c r="J208" s="4">
        <f t="shared" si="43"/>
        <v>15.799999999999994</v>
      </c>
      <c r="K208" s="4">
        <f t="shared" si="43"/>
        <v>15.499999999999993</v>
      </c>
      <c r="L208" s="4">
        <f t="shared" si="43"/>
        <v>15.199999999999992</v>
      </c>
      <c r="M208" s="4">
        <f t="shared" si="43"/>
        <v>14.899999999999991</v>
      </c>
      <c r="N208" s="4">
        <f t="shared" si="43"/>
        <v>14.599999999999991</v>
      </c>
      <c r="O208" s="4">
        <f t="shared" si="43"/>
        <v>14.29999999999999</v>
      </c>
      <c r="P208" s="4">
        <f t="shared" si="43"/>
        <v>13.999999999999989</v>
      </c>
      <c r="Q208" s="4">
        <f t="shared" si="43"/>
        <v>13.699999999999989</v>
      </c>
      <c r="R208" s="4">
        <f t="shared" si="43"/>
        <v>13.399999999999988</v>
      </c>
      <c r="S208" s="4">
        <f t="shared" si="43"/>
        <v>13.099999999999987</v>
      </c>
      <c r="T208" s="4">
        <f t="shared" si="43"/>
        <v>12.799999999999986</v>
      </c>
      <c r="U208" s="4">
        <f t="shared" ref="U208:AK208" si="44">(IF(T208&lt;=4.4,T208-$E$6,IF(AND(T208&gt;=4.5,T208&lt;=11.4),T208-$E$7,IF(AND(T208&gt;=11.5,T208&lt;=18.4),T208-$E$8,IF(AND(T208&gt;=18.5,T208&lt;=26.4),T208-$E$9,IF(AND(T208&gt;=26.4,T208&lt;=36),T208-$E$10,IF(T208&gt;=37,T208-$E$11)))))))</f>
        <v>12.499999999999986</v>
      </c>
      <c r="V208" s="4">
        <f t="shared" si="44"/>
        <v>12.199999999999985</v>
      </c>
      <c r="W208" s="4">
        <f t="shared" si="44"/>
        <v>11.899999999999984</v>
      </c>
      <c r="X208" s="4">
        <f t="shared" si="44"/>
        <v>11.599999999999984</v>
      </c>
      <c r="Y208" s="4">
        <f t="shared" si="44"/>
        <v>11.299999999999983</v>
      </c>
      <c r="Z208" s="4">
        <f t="shared" si="44"/>
        <v>11.099999999999984</v>
      </c>
      <c r="AA208" s="4">
        <f t="shared" si="44"/>
        <v>10.899999999999984</v>
      </c>
      <c r="AB208" s="4">
        <f t="shared" si="44"/>
        <v>10.699999999999985</v>
      </c>
      <c r="AC208" s="4">
        <f t="shared" si="44"/>
        <v>10.499999999999986</v>
      </c>
      <c r="AD208" s="4">
        <f t="shared" si="44"/>
        <v>10.299999999999986</v>
      </c>
      <c r="AE208" s="4">
        <f t="shared" si="44"/>
        <v>10.099999999999987</v>
      </c>
      <c r="AF208" s="4">
        <f t="shared" si="44"/>
        <v>9.8999999999999879</v>
      </c>
      <c r="AG208" s="4">
        <f t="shared" si="44"/>
        <v>9.6999999999999886</v>
      </c>
      <c r="AH208" s="4">
        <f t="shared" si="44"/>
        <v>9.4999999999999893</v>
      </c>
      <c r="AI208" s="4">
        <f t="shared" si="44"/>
        <v>9.2999999999999901</v>
      </c>
      <c r="AJ208" s="4">
        <f t="shared" si="44"/>
        <v>9.0999999999999908</v>
      </c>
      <c r="AK208" s="4">
        <f t="shared" si="44"/>
        <v>8.8999999999999915</v>
      </c>
    </row>
    <row r="209" spans="3:37" outlineLevel="1" x14ac:dyDescent="0.25">
      <c r="C209" s="38">
        <v>18</v>
      </c>
      <c r="D209" s="4">
        <f t="shared" ref="D209:AK216" si="45">(IF(C209&lt;=4.4,C209-$E$6,IF(AND(C209&gt;=4.5,C209&lt;=11.4),C209-$E$7,IF(AND(C209&gt;=11.5,C209&lt;=18.4),C209-$E$8,IF(AND(C209&gt;=18.5,C209&lt;=26.4),C209-$E$9,IF(AND(C209&gt;=26.4,C209&lt;=36),C209-$E$10,IF(C209&gt;=37,C209-$E$11)))))))</f>
        <v>17.7</v>
      </c>
      <c r="E209" s="4">
        <f t="shared" si="45"/>
        <v>17.399999999999999</v>
      </c>
      <c r="F209" s="4">
        <f t="shared" si="45"/>
        <v>17.099999999999998</v>
      </c>
      <c r="G209" s="4">
        <f t="shared" si="45"/>
        <v>16.799999999999997</v>
      </c>
      <c r="H209" s="4">
        <f t="shared" si="45"/>
        <v>16.499999999999996</v>
      </c>
      <c r="I209" s="4">
        <f t="shared" si="45"/>
        <v>16.199999999999996</v>
      </c>
      <c r="J209" s="4">
        <f t="shared" si="45"/>
        <v>15.899999999999995</v>
      </c>
      <c r="K209" s="4">
        <f t="shared" si="45"/>
        <v>15.599999999999994</v>
      </c>
      <c r="L209" s="4">
        <f t="shared" si="45"/>
        <v>15.299999999999994</v>
      </c>
      <c r="M209" s="4">
        <f t="shared" si="45"/>
        <v>14.999999999999993</v>
      </c>
      <c r="N209" s="4">
        <f t="shared" si="45"/>
        <v>14.699999999999992</v>
      </c>
      <c r="O209" s="4">
        <f t="shared" si="45"/>
        <v>14.399999999999991</v>
      </c>
      <c r="P209" s="4">
        <f t="shared" si="45"/>
        <v>14.099999999999991</v>
      </c>
      <c r="Q209" s="4">
        <f t="shared" si="45"/>
        <v>13.79999999999999</v>
      </c>
      <c r="R209" s="4">
        <f t="shared" si="45"/>
        <v>13.499999999999989</v>
      </c>
      <c r="S209" s="4">
        <f t="shared" si="45"/>
        <v>13.199999999999989</v>
      </c>
      <c r="T209" s="4">
        <f t="shared" si="45"/>
        <v>12.899999999999988</v>
      </c>
      <c r="U209" s="4">
        <f t="shared" si="45"/>
        <v>12.599999999999987</v>
      </c>
      <c r="V209" s="4">
        <f t="shared" si="45"/>
        <v>12.299999999999986</v>
      </c>
      <c r="W209" s="4">
        <f t="shared" si="45"/>
        <v>11.999999999999986</v>
      </c>
      <c r="X209" s="4">
        <f t="shared" si="45"/>
        <v>11.699999999999985</v>
      </c>
      <c r="Y209" s="4">
        <f t="shared" si="45"/>
        <v>11.399999999999984</v>
      </c>
      <c r="Z209" s="4">
        <f t="shared" si="45"/>
        <v>11.199999999999985</v>
      </c>
      <c r="AA209" s="4">
        <f t="shared" si="45"/>
        <v>10.999999999999986</v>
      </c>
      <c r="AB209" s="4">
        <f t="shared" si="45"/>
        <v>10.799999999999986</v>
      </c>
      <c r="AC209" s="4">
        <f t="shared" si="45"/>
        <v>10.599999999999987</v>
      </c>
      <c r="AD209" s="4">
        <f t="shared" si="45"/>
        <v>10.399999999999988</v>
      </c>
      <c r="AE209" s="4">
        <f t="shared" si="45"/>
        <v>10.199999999999989</v>
      </c>
      <c r="AF209" s="4">
        <f t="shared" si="45"/>
        <v>9.9999999999999893</v>
      </c>
      <c r="AG209" s="4">
        <f t="shared" si="45"/>
        <v>9.7999999999999901</v>
      </c>
      <c r="AH209" s="4">
        <f t="shared" si="45"/>
        <v>9.5999999999999908</v>
      </c>
      <c r="AI209" s="4">
        <f t="shared" si="45"/>
        <v>9.3999999999999915</v>
      </c>
      <c r="AJ209" s="4">
        <f t="shared" si="45"/>
        <v>9.1999999999999922</v>
      </c>
      <c r="AK209" s="4">
        <f t="shared" si="45"/>
        <v>8.9999999999999929</v>
      </c>
    </row>
    <row r="210" spans="3:37" outlineLevel="1" x14ac:dyDescent="0.25">
      <c r="C210" s="38">
        <v>18.100000000000001</v>
      </c>
      <c r="D210" s="4">
        <f t="shared" si="45"/>
        <v>17.8</v>
      </c>
      <c r="E210" s="4">
        <f t="shared" si="45"/>
        <v>17.5</v>
      </c>
      <c r="F210" s="4">
        <f t="shared" si="45"/>
        <v>17.2</v>
      </c>
      <c r="G210" s="4">
        <f t="shared" si="45"/>
        <v>16.899999999999999</v>
      </c>
      <c r="H210" s="4">
        <f t="shared" si="45"/>
        <v>16.599999999999998</v>
      </c>
      <c r="I210" s="4">
        <f t="shared" si="45"/>
        <v>16.299999999999997</v>
      </c>
      <c r="J210" s="4">
        <f t="shared" si="45"/>
        <v>15.999999999999996</v>
      </c>
      <c r="K210" s="4">
        <f t="shared" si="45"/>
        <v>15.699999999999996</v>
      </c>
      <c r="L210" s="4">
        <f t="shared" si="45"/>
        <v>15.399999999999995</v>
      </c>
      <c r="M210" s="4">
        <f t="shared" si="45"/>
        <v>15.099999999999994</v>
      </c>
      <c r="N210" s="4">
        <f t="shared" si="45"/>
        <v>14.799999999999994</v>
      </c>
      <c r="O210" s="4">
        <f t="shared" si="45"/>
        <v>14.499999999999993</v>
      </c>
      <c r="P210" s="4">
        <f t="shared" si="45"/>
        <v>14.199999999999992</v>
      </c>
      <c r="Q210" s="4">
        <f t="shared" si="45"/>
        <v>13.899999999999991</v>
      </c>
      <c r="R210" s="4">
        <f t="shared" si="45"/>
        <v>13.599999999999991</v>
      </c>
      <c r="S210" s="4">
        <f t="shared" si="45"/>
        <v>13.29999999999999</v>
      </c>
      <c r="T210" s="4">
        <f t="shared" si="45"/>
        <v>12.999999999999989</v>
      </c>
      <c r="U210" s="4">
        <f t="shared" si="45"/>
        <v>12.699999999999989</v>
      </c>
      <c r="V210" s="4">
        <f t="shared" si="45"/>
        <v>12.399999999999988</v>
      </c>
      <c r="W210" s="4">
        <f t="shared" si="45"/>
        <v>12.099999999999987</v>
      </c>
      <c r="X210" s="4">
        <f t="shared" si="45"/>
        <v>11.799999999999986</v>
      </c>
      <c r="Y210" s="4">
        <f t="shared" si="45"/>
        <v>11.499999999999986</v>
      </c>
      <c r="Z210" s="4">
        <f t="shared" si="45"/>
        <v>11.199999999999985</v>
      </c>
      <c r="AA210" s="4">
        <f t="shared" si="45"/>
        <v>10.999999999999986</v>
      </c>
      <c r="AB210" s="4">
        <f t="shared" si="45"/>
        <v>10.799999999999986</v>
      </c>
      <c r="AC210" s="4">
        <f t="shared" si="45"/>
        <v>10.599999999999987</v>
      </c>
      <c r="AD210" s="4">
        <f t="shared" si="45"/>
        <v>10.399999999999988</v>
      </c>
      <c r="AE210" s="4">
        <f t="shared" si="45"/>
        <v>10.199999999999989</v>
      </c>
      <c r="AF210" s="4">
        <f t="shared" si="45"/>
        <v>9.9999999999999893</v>
      </c>
      <c r="AG210" s="4">
        <f t="shared" si="45"/>
        <v>9.7999999999999901</v>
      </c>
      <c r="AH210" s="4">
        <f t="shared" si="45"/>
        <v>9.5999999999999908</v>
      </c>
      <c r="AI210" s="4">
        <f t="shared" si="45"/>
        <v>9.3999999999999915</v>
      </c>
      <c r="AJ210" s="4">
        <f t="shared" si="45"/>
        <v>9.1999999999999922</v>
      </c>
      <c r="AK210" s="4">
        <f t="shared" si="45"/>
        <v>8.9999999999999929</v>
      </c>
    </row>
    <row r="211" spans="3:37" outlineLevel="1" x14ac:dyDescent="0.25">
      <c r="C211" s="38">
        <v>18.2</v>
      </c>
      <c r="D211" s="4">
        <f t="shared" si="45"/>
        <v>17.899999999999999</v>
      </c>
      <c r="E211" s="4">
        <f t="shared" si="45"/>
        <v>17.599999999999998</v>
      </c>
      <c r="F211" s="4">
        <f t="shared" si="45"/>
        <v>17.299999999999997</v>
      </c>
      <c r="G211" s="4">
        <f t="shared" si="45"/>
        <v>16.999999999999996</v>
      </c>
      <c r="H211" s="4">
        <f t="shared" si="45"/>
        <v>16.699999999999996</v>
      </c>
      <c r="I211" s="4">
        <f t="shared" si="45"/>
        <v>16.399999999999995</v>
      </c>
      <c r="J211" s="4">
        <f t="shared" si="45"/>
        <v>16.099999999999994</v>
      </c>
      <c r="K211" s="4">
        <f t="shared" si="45"/>
        <v>15.799999999999994</v>
      </c>
      <c r="L211" s="4">
        <f t="shared" si="45"/>
        <v>15.499999999999993</v>
      </c>
      <c r="M211" s="4">
        <f t="shared" si="45"/>
        <v>15.199999999999992</v>
      </c>
      <c r="N211" s="4">
        <f t="shared" si="45"/>
        <v>14.899999999999991</v>
      </c>
      <c r="O211" s="4">
        <f t="shared" si="45"/>
        <v>14.599999999999991</v>
      </c>
      <c r="P211" s="4">
        <f t="shared" si="45"/>
        <v>14.29999999999999</v>
      </c>
      <c r="Q211" s="4">
        <f t="shared" si="45"/>
        <v>13.999999999999989</v>
      </c>
      <c r="R211" s="4">
        <f t="shared" si="45"/>
        <v>13.699999999999989</v>
      </c>
      <c r="S211" s="4">
        <f t="shared" si="45"/>
        <v>13.399999999999988</v>
      </c>
      <c r="T211" s="4">
        <f t="shared" si="45"/>
        <v>13.099999999999987</v>
      </c>
      <c r="U211" s="4">
        <f t="shared" si="45"/>
        <v>12.799999999999986</v>
      </c>
      <c r="V211" s="4">
        <f t="shared" si="45"/>
        <v>12.499999999999986</v>
      </c>
      <c r="W211" s="4">
        <f t="shared" si="45"/>
        <v>12.199999999999985</v>
      </c>
      <c r="X211" s="4">
        <f t="shared" si="45"/>
        <v>11.899999999999984</v>
      </c>
      <c r="Y211" s="4">
        <f t="shared" si="45"/>
        <v>11.599999999999984</v>
      </c>
      <c r="Z211" s="4">
        <f t="shared" si="45"/>
        <v>11.299999999999983</v>
      </c>
      <c r="AA211" s="4">
        <f t="shared" si="45"/>
        <v>11.099999999999984</v>
      </c>
      <c r="AB211" s="4">
        <f t="shared" si="45"/>
        <v>10.899999999999984</v>
      </c>
      <c r="AC211" s="4">
        <f t="shared" si="45"/>
        <v>10.699999999999985</v>
      </c>
      <c r="AD211" s="4">
        <f t="shared" si="45"/>
        <v>10.499999999999986</v>
      </c>
      <c r="AE211" s="4">
        <f t="shared" si="45"/>
        <v>10.299999999999986</v>
      </c>
      <c r="AF211" s="4">
        <f t="shared" si="45"/>
        <v>10.099999999999987</v>
      </c>
      <c r="AG211" s="4">
        <f t="shared" si="45"/>
        <v>9.8999999999999879</v>
      </c>
      <c r="AH211" s="4">
        <f t="shared" si="45"/>
        <v>9.6999999999999886</v>
      </c>
      <c r="AI211" s="4">
        <f t="shared" si="45"/>
        <v>9.4999999999999893</v>
      </c>
      <c r="AJ211" s="4">
        <f t="shared" si="45"/>
        <v>9.2999999999999901</v>
      </c>
      <c r="AK211" s="4">
        <f t="shared" si="45"/>
        <v>9.0999999999999908</v>
      </c>
    </row>
    <row r="212" spans="3:37" outlineLevel="1" x14ac:dyDescent="0.25">
      <c r="C212" s="38">
        <v>18.3</v>
      </c>
      <c r="D212" s="4">
        <f t="shared" si="45"/>
        <v>18</v>
      </c>
      <c r="E212" s="4">
        <f t="shared" si="45"/>
        <v>17.7</v>
      </c>
      <c r="F212" s="4">
        <f t="shared" si="45"/>
        <v>17.399999999999999</v>
      </c>
      <c r="G212" s="4">
        <f t="shared" si="45"/>
        <v>17.099999999999998</v>
      </c>
      <c r="H212" s="4">
        <f t="shared" si="45"/>
        <v>16.799999999999997</v>
      </c>
      <c r="I212" s="4">
        <f t="shared" si="45"/>
        <v>16.499999999999996</v>
      </c>
      <c r="J212" s="4">
        <f t="shared" si="45"/>
        <v>16.199999999999996</v>
      </c>
      <c r="K212" s="4">
        <f t="shared" si="45"/>
        <v>15.899999999999995</v>
      </c>
      <c r="L212" s="4">
        <f t="shared" si="45"/>
        <v>15.599999999999994</v>
      </c>
      <c r="M212" s="4">
        <f t="shared" si="45"/>
        <v>15.299999999999994</v>
      </c>
      <c r="N212" s="4">
        <f t="shared" si="45"/>
        <v>14.999999999999993</v>
      </c>
      <c r="O212" s="4">
        <f t="shared" si="45"/>
        <v>14.699999999999992</v>
      </c>
      <c r="P212" s="4">
        <f t="shared" si="45"/>
        <v>14.399999999999991</v>
      </c>
      <c r="Q212" s="4">
        <f t="shared" si="45"/>
        <v>14.099999999999991</v>
      </c>
      <c r="R212" s="4">
        <f t="shared" si="45"/>
        <v>13.79999999999999</v>
      </c>
      <c r="S212" s="4">
        <f t="shared" si="45"/>
        <v>13.499999999999989</v>
      </c>
      <c r="T212" s="4">
        <f t="shared" si="45"/>
        <v>13.199999999999989</v>
      </c>
      <c r="U212" s="4">
        <f t="shared" si="45"/>
        <v>12.899999999999988</v>
      </c>
      <c r="V212" s="4">
        <f t="shared" si="45"/>
        <v>12.599999999999987</v>
      </c>
      <c r="W212" s="4">
        <f t="shared" si="45"/>
        <v>12.299999999999986</v>
      </c>
      <c r="X212" s="4">
        <f t="shared" si="45"/>
        <v>11.999999999999986</v>
      </c>
      <c r="Y212" s="4">
        <f t="shared" si="45"/>
        <v>11.699999999999985</v>
      </c>
      <c r="Z212" s="4">
        <f t="shared" si="45"/>
        <v>11.399999999999984</v>
      </c>
      <c r="AA212" s="4">
        <f t="shared" si="45"/>
        <v>11.199999999999985</v>
      </c>
      <c r="AB212" s="4">
        <f t="shared" si="45"/>
        <v>10.999999999999986</v>
      </c>
      <c r="AC212" s="4">
        <f t="shared" si="45"/>
        <v>10.799999999999986</v>
      </c>
      <c r="AD212" s="4">
        <f t="shared" si="45"/>
        <v>10.599999999999987</v>
      </c>
      <c r="AE212" s="4">
        <f t="shared" si="45"/>
        <v>10.399999999999988</v>
      </c>
      <c r="AF212" s="4">
        <f t="shared" si="45"/>
        <v>10.199999999999989</v>
      </c>
      <c r="AG212" s="4">
        <f t="shared" si="45"/>
        <v>9.9999999999999893</v>
      </c>
      <c r="AH212" s="4">
        <f t="shared" si="45"/>
        <v>9.7999999999999901</v>
      </c>
      <c r="AI212" s="4">
        <f t="shared" si="45"/>
        <v>9.5999999999999908</v>
      </c>
      <c r="AJ212" s="4">
        <f t="shared" si="45"/>
        <v>9.3999999999999915</v>
      </c>
      <c r="AK212" s="4">
        <f t="shared" si="45"/>
        <v>9.1999999999999922</v>
      </c>
    </row>
    <row r="213" spans="3:37" outlineLevel="1" x14ac:dyDescent="0.25">
      <c r="C213" s="38">
        <v>18.399999999999999</v>
      </c>
      <c r="D213" s="4">
        <f t="shared" si="45"/>
        <v>18.099999999999998</v>
      </c>
      <c r="E213" s="4">
        <f t="shared" si="45"/>
        <v>17.799999999999997</v>
      </c>
      <c r="F213" s="4">
        <f t="shared" si="45"/>
        <v>17.499999999999996</v>
      </c>
      <c r="G213" s="4">
        <f t="shared" si="45"/>
        <v>17.199999999999996</v>
      </c>
      <c r="H213" s="4">
        <f t="shared" si="45"/>
        <v>16.899999999999995</v>
      </c>
      <c r="I213" s="4">
        <f t="shared" si="45"/>
        <v>16.599999999999994</v>
      </c>
      <c r="J213" s="4">
        <f t="shared" si="45"/>
        <v>16.299999999999994</v>
      </c>
      <c r="K213" s="4">
        <f t="shared" si="45"/>
        <v>15.999999999999993</v>
      </c>
      <c r="L213" s="4">
        <f t="shared" si="45"/>
        <v>15.699999999999992</v>
      </c>
      <c r="M213" s="4">
        <f t="shared" si="45"/>
        <v>15.399999999999991</v>
      </c>
      <c r="N213" s="4">
        <f t="shared" si="45"/>
        <v>15.099999999999991</v>
      </c>
      <c r="O213" s="4">
        <f t="shared" si="45"/>
        <v>14.79999999999999</v>
      </c>
      <c r="P213" s="4">
        <f t="shared" si="45"/>
        <v>14.499999999999989</v>
      </c>
      <c r="Q213" s="4">
        <f t="shared" si="45"/>
        <v>14.199999999999989</v>
      </c>
      <c r="R213" s="4">
        <f t="shared" si="45"/>
        <v>13.899999999999988</v>
      </c>
      <c r="S213" s="4">
        <f t="shared" si="45"/>
        <v>13.599999999999987</v>
      </c>
      <c r="T213" s="4">
        <f t="shared" si="45"/>
        <v>13.299999999999986</v>
      </c>
      <c r="U213" s="4">
        <f t="shared" si="45"/>
        <v>12.999999999999986</v>
      </c>
      <c r="V213" s="4">
        <f t="shared" si="45"/>
        <v>12.699999999999985</v>
      </c>
      <c r="W213" s="4">
        <f t="shared" si="45"/>
        <v>12.399999999999984</v>
      </c>
      <c r="X213" s="4">
        <f t="shared" si="45"/>
        <v>12.099999999999984</v>
      </c>
      <c r="Y213" s="4">
        <f t="shared" si="45"/>
        <v>11.799999999999983</v>
      </c>
      <c r="Z213" s="4">
        <f t="shared" si="45"/>
        <v>11.499999999999982</v>
      </c>
      <c r="AA213" s="4">
        <f t="shared" si="45"/>
        <v>11.199999999999982</v>
      </c>
      <c r="AB213" s="4">
        <f t="shared" si="45"/>
        <v>10.999999999999982</v>
      </c>
      <c r="AC213" s="4">
        <f t="shared" si="45"/>
        <v>10.799999999999983</v>
      </c>
      <c r="AD213" s="4">
        <f t="shared" si="45"/>
        <v>10.599999999999984</v>
      </c>
      <c r="AE213" s="4">
        <f t="shared" si="45"/>
        <v>10.399999999999984</v>
      </c>
      <c r="AF213" s="4">
        <f t="shared" si="45"/>
        <v>10.199999999999985</v>
      </c>
      <c r="AG213" s="4">
        <f t="shared" si="45"/>
        <v>9.9999999999999858</v>
      </c>
      <c r="AH213" s="4">
        <f t="shared" si="45"/>
        <v>9.7999999999999865</v>
      </c>
      <c r="AI213" s="4">
        <f t="shared" si="45"/>
        <v>9.5999999999999872</v>
      </c>
      <c r="AJ213" s="4">
        <f t="shared" si="45"/>
        <v>9.3999999999999879</v>
      </c>
      <c r="AK213" s="4">
        <f t="shared" si="45"/>
        <v>9.1999999999999886</v>
      </c>
    </row>
    <row r="214" spans="3:37" outlineLevel="1" x14ac:dyDescent="0.25">
      <c r="C214" s="38">
        <v>18.5</v>
      </c>
      <c r="D214" s="4">
        <f t="shared" si="45"/>
        <v>18.100000000000001</v>
      </c>
      <c r="E214" s="4">
        <f t="shared" si="45"/>
        <v>17.8</v>
      </c>
      <c r="F214" s="4">
        <f t="shared" si="45"/>
        <v>17.5</v>
      </c>
      <c r="G214" s="4">
        <f t="shared" si="45"/>
        <v>17.2</v>
      </c>
      <c r="H214" s="4">
        <f t="shared" si="45"/>
        <v>16.899999999999999</v>
      </c>
      <c r="I214" s="4">
        <f t="shared" si="45"/>
        <v>16.599999999999998</v>
      </c>
      <c r="J214" s="4">
        <f t="shared" si="45"/>
        <v>16.299999999999997</v>
      </c>
      <c r="K214" s="4">
        <f t="shared" si="45"/>
        <v>15.999999999999996</v>
      </c>
      <c r="L214" s="4">
        <f t="shared" si="45"/>
        <v>15.699999999999996</v>
      </c>
      <c r="M214" s="4">
        <f t="shared" si="45"/>
        <v>15.399999999999995</v>
      </c>
      <c r="N214" s="4">
        <f t="shared" si="45"/>
        <v>15.099999999999994</v>
      </c>
      <c r="O214" s="4">
        <f t="shared" si="45"/>
        <v>14.799999999999994</v>
      </c>
      <c r="P214" s="4">
        <f t="shared" si="45"/>
        <v>14.499999999999993</v>
      </c>
      <c r="Q214" s="4">
        <f t="shared" si="45"/>
        <v>14.199999999999992</v>
      </c>
      <c r="R214" s="4">
        <f t="shared" si="45"/>
        <v>13.899999999999991</v>
      </c>
      <c r="S214" s="4">
        <f t="shared" si="45"/>
        <v>13.599999999999991</v>
      </c>
      <c r="T214" s="4">
        <f t="shared" si="45"/>
        <v>13.29999999999999</v>
      </c>
      <c r="U214" s="4">
        <f t="shared" si="45"/>
        <v>12.999999999999989</v>
      </c>
      <c r="V214" s="4">
        <f t="shared" si="45"/>
        <v>12.699999999999989</v>
      </c>
      <c r="W214" s="4">
        <f t="shared" si="45"/>
        <v>12.399999999999988</v>
      </c>
      <c r="X214" s="4">
        <f t="shared" si="45"/>
        <v>12.099999999999987</v>
      </c>
      <c r="Y214" s="4">
        <f t="shared" si="45"/>
        <v>11.799999999999986</v>
      </c>
      <c r="Z214" s="4">
        <f t="shared" si="45"/>
        <v>11.499999999999986</v>
      </c>
      <c r="AA214" s="4">
        <f t="shared" si="45"/>
        <v>11.199999999999985</v>
      </c>
      <c r="AB214" s="4">
        <f t="shared" si="45"/>
        <v>10.999999999999986</v>
      </c>
      <c r="AC214" s="4">
        <f t="shared" si="45"/>
        <v>10.799999999999986</v>
      </c>
      <c r="AD214" s="4">
        <f t="shared" si="45"/>
        <v>10.599999999999987</v>
      </c>
      <c r="AE214" s="4">
        <f t="shared" si="45"/>
        <v>10.399999999999988</v>
      </c>
      <c r="AF214" s="4">
        <f t="shared" si="45"/>
        <v>10.199999999999989</v>
      </c>
      <c r="AG214" s="4">
        <f t="shared" si="45"/>
        <v>9.9999999999999893</v>
      </c>
      <c r="AH214" s="4">
        <f t="shared" si="45"/>
        <v>9.7999999999999901</v>
      </c>
      <c r="AI214" s="4">
        <f t="shared" si="45"/>
        <v>9.5999999999999908</v>
      </c>
      <c r="AJ214" s="4">
        <f t="shared" si="45"/>
        <v>9.3999999999999915</v>
      </c>
      <c r="AK214" s="4">
        <f t="shared" si="45"/>
        <v>9.1999999999999922</v>
      </c>
    </row>
    <row r="215" spans="3:37" outlineLevel="1" x14ac:dyDescent="0.25">
      <c r="C215" s="38">
        <v>18.600000000000001</v>
      </c>
      <c r="D215" s="4">
        <f t="shared" si="45"/>
        <v>18.200000000000003</v>
      </c>
      <c r="E215" s="4">
        <f t="shared" si="45"/>
        <v>17.900000000000002</v>
      </c>
      <c r="F215" s="4">
        <f t="shared" si="45"/>
        <v>17.600000000000001</v>
      </c>
      <c r="G215" s="4">
        <f t="shared" si="45"/>
        <v>17.3</v>
      </c>
      <c r="H215" s="4">
        <f t="shared" si="45"/>
        <v>17</v>
      </c>
      <c r="I215" s="4">
        <f t="shared" si="45"/>
        <v>16.7</v>
      </c>
      <c r="J215" s="4">
        <f t="shared" si="45"/>
        <v>16.399999999999999</v>
      </c>
      <c r="K215" s="4">
        <f t="shared" si="45"/>
        <v>16.099999999999998</v>
      </c>
      <c r="L215" s="4">
        <f t="shared" si="45"/>
        <v>15.799999999999997</v>
      </c>
      <c r="M215" s="4">
        <f t="shared" si="45"/>
        <v>15.499999999999996</v>
      </c>
      <c r="N215" s="4">
        <f t="shared" si="45"/>
        <v>15.199999999999996</v>
      </c>
      <c r="O215" s="4">
        <f t="shared" si="45"/>
        <v>14.899999999999995</v>
      </c>
      <c r="P215" s="4">
        <f t="shared" si="45"/>
        <v>14.599999999999994</v>
      </c>
      <c r="Q215" s="4">
        <f t="shared" si="45"/>
        <v>14.299999999999994</v>
      </c>
      <c r="R215" s="4">
        <f t="shared" si="45"/>
        <v>13.999999999999993</v>
      </c>
      <c r="S215" s="4">
        <f t="shared" si="45"/>
        <v>13.699999999999992</v>
      </c>
      <c r="T215" s="4">
        <f t="shared" si="45"/>
        <v>13.399999999999991</v>
      </c>
      <c r="U215" s="4">
        <f t="shared" si="45"/>
        <v>13.099999999999991</v>
      </c>
      <c r="V215" s="4">
        <f t="shared" si="45"/>
        <v>12.79999999999999</v>
      </c>
      <c r="W215" s="4">
        <f t="shared" si="45"/>
        <v>12.499999999999989</v>
      </c>
      <c r="X215" s="4">
        <f t="shared" si="45"/>
        <v>12.199999999999989</v>
      </c>
      <c r="Y215" s="4">
        <f t="shared" si="45"/>
        <v>11.899999999999988</v>
      </c>
      <c r="Z215" s="4">
        <f t="shared" si="45"/>
        <v>11.599999999999987</v>
      </c>
      <c r="AA215" s="4">
        <f t="shared" si="45"/>
        <v>11.299999999999986</v>
      </c>
      <c r="AB215" s="4">
        <f t="shared" si="45"/>
        <v>11.099999999999987</v>
      </c>
      <c r="AC215" s="4">
        <f t="shared" si="45"/>
        <v>10.899999999999988</v>
      </c>
      <c r="AD215" s="4">
        <f t="shared" si="45"/>
        <v>10.699999999999989</v>
      </c>
      <c r="AE215" s="4">
        <f t="shared" si="45"/>
        <v>10.499999999999989</v>
      </c>
      <c r="AF215" s="4">
        <f t="shared" si="45"/>
        <v>10.29999999999999</v>
      </c>
      <c r="AG215" s="4">
        <f t="shared" si="45"/>
        <v>10.099999999999991</v>
      </c>
      <c r="AH215" s="4">
        <f t="shared" si="45"/>
        <v>9.8999999999999915</v>
      </c>
      <c r="AI215" s="4">
        <f t="shared" si="45"/>
        <v>9.6999999999999922</v>
      </c>
      <c r="AJ215" s="4">
        <f t="shared" si="45"/>
        <v>9.4999999999999929</v>
      </c>
      <c r="AK215" s="4">
        <f t="shared" si="45"/>
        <v>9.2999999999999936</v>
      </c>
    </row>
    <row r="216" spans="3:37" outlineLevel="1" x14ac:dyDescent="0.25">
      <c r="C216" s="38">
        <v>18.7</v>
      </c>
      <c r="D216" s="4">
        <f t="shared" si="45"/>
        <v>18.3</v>
      </c>
      <c r="E216" s="4">
        <f t="shared" si="45"/>
        <v>18</v>
      </c>
      <c r="F216" s="4">
        <f t="shared" si="45"/>
        <v>17.7</v>
      </c>
      <c r="G216" s="4">
        <f t="shared" si="45"/>
        <v>17.399999999999999</v>
      </c>
      <c r="H216" s="4">
        <f t="shared" si="45"/>
        <v>17.099999999999998</v>
      </c>
      <c r="I216" s="4">
        <f t="shared" si="45"/>
        <v>16.799999999999997</v>
      </c>
      <c r="J216" s="4">
        <f t="shared" si="45"/>
        <v>16.499999999999996</v>
      </c>
      <c r="K216" s="4">
        <f t="shared" si="45"/>
        <v>16.199999999999996</v>
      </c>
      <c r="L216" s="4">
        <f t="shared" si="45"/>
        <v>15.899999999999995</v>
      </c>
      <c r="M216" s="4">
        <f t="shared" si="45"/>
        <v>15.599999999999994</v>
      </c>
      <c r="N216" s="4">
        <f t="shared" si="45"/>
        <v>15.299999999999994</v>
      </c>
      <c r="O216" s="4">
        <f t="shared" si="45"/>
        <v>14.999999999999993</v>
      </c>
      <c r="P216" s="4">
        <f t="shared" si="45"/>
        <v>14.699999999999992</v>
      </c>
      <c r="Q216" s="4">
        <f t="shared" si="45"/>
        <v>14.399999999999991</v>
      </c>
      <c r="R216" s="4">
        <f t="shared" si="45"/>
        <v>14.099999999999991</v>
      </c>
      <c r="S216" s="4">
        <f t="shared" si="45"/>
        <v>13.79999999999999</v>
      </c>
      <c r="T216" s="4">
        <f t="shared" si="45"/>
        <v>13.499999999999989</v>
      </c>
      <c r="U216" s="4">
        <f t="shared" ref="U216:AK216" si="46">(IF(T216&lt;=4.4,T216-$E$6,IF(AND(T216&gt;=4.5,T216&lt;=11.4),T216-$E$7,IF(AND(T216&gt;=11.5,T216&lt;=18.4),T216-$E$8,IF(AND(T216&gt;=18.5,T216&lt;=26.4),T216-$E$9,IF(AND(T216&gt;=26.4,T216&lt;=36),T216-$E$10,IF(T216&gt;=37,T216-$E$11)))))))</f>
        <v>13.199999999999989</v>
      </c>
      <c r="V216" s="4">
        <f t="shared" si="46"/>
        <v>12.899999999999988</v>
      </c>
      <c r="W216" s="4">
        <f t="shared" si="46"/>
        <v>12.599999999999987</v>
      </c>
      <c r="X216" s="4">
        <f t="shared" si="46"/>
        <v>12.299999999999986</v>
      </c>
      <c r="Y216" s="4">
        <f t="shared" si="46"/>
        <v>11.999999999999986</v>
      </c>
      <c r="Z216" s="4">
        <f t="shared" si="46"/>
        <v>11.699999999999985</v>
      </c>
      <c r="AA216" s="4">
        <f t="shared" si="46"/>
        <v>11.399999999999984</v>
      </c>
      <c r="AB216" s="4">
        <f t="shared" si="46"/>
        <v>11.199999999999985</v>
      </c>
      <c r="AC216" s="4">
        <f t="shared" si="46"/>
        <v>10.999999999999986</v>
      </c>
      <c r="AD216" s="4">
        <f t="shared" si="46"/>
        <v>10.799999999999986</v>
      </c>
      <c r="AE216" s="4">
        <f t="shared" si="46"/>
        <v>10.599999999999987</v>
      </c>
      <c r="AF216" s="4">
        <f t="shared" si="46"/>
        <v>10.399999999999988</v>
      </c>
      <c r="AG216" s="4">
        <f t="shared" si="46"/>
        <v>10.199999999999989</v>
      </c>
      <c r="AH216" s="4">
        <f t="shared" si="46"/>
        <v>9.9999999999999893</v>
      </c>
      <c r="AI216" s="4">
        <f t="shared" si="46"/>
        <v>9.7999999999999901</v>
      </c>
      <c r="AJ216" s="4">
        <f t="shared" si="46"/>
        <v>9.5999999999999908</v>
      </c>
      <c r="AK216" s="4">
        <f t="shared" si="46"/>
        <v>9.3999999999999915</v>
      </c>
    </row>
    <row r="217" spans="3:37" outlineLevel="1" x14ac:dyDescent="0.25">
      <c r="C217" s="38">
        <v>18.8</v>
      </c>
      <c r="D217" s="4">
        <f t="shared" ref="D217:AK224" si="47">(IF(C217&lt;=4.4,C217-$E$6,IF(AND(C217&gt;=4.5,C217&lt;=11.4),C217-$E$7,IF(AND(C217&gt;=11.5,C217&lt;=18.4),C217-$E$8,IF(AND(C217&gt;=18.5,C217&lt;=26.4),C217-$E$9,IF(AND(C217&gt;=26.4,C217&lt;=36),C217-$E$10,IF(C217&gt;=37,C217-$E$11)))))))</f>
        <v>18.400000000000002</v>
      </c>
      <c r="E217" s="4">
        <f t="shared" si="47"/>
        <v>18.100000000000001</v>
      </c>
      <c r="F217" s="4">
        <f t="shared" si="47"/>
        <v>17.8</v>
      </c>
      <c r="G217" s="4">
        <f t="shared" si="47"/>
        <v>17.5</v>
      </c>
      <c r="H217" s="4">
        <f t="shared" si="47"/>
        <v>17.2</v>
      </c>
      <c r="I217" s="4">
        <f t="shared" si="47"/>
        <v>16.899999999999999</v>
      </c>
      <c r="J217" s="4">
        <f t="shared" si="47"/>
        <v>16.599999999999998</v>
      </c>
      <c r="K217" s="4">
        <f t="shared" si="47"/>
        <v>16.299999999999997</v>
      </c>
      <c r="L217" s="4">
        <f t="shared" si="47"/>
        <v>15.999999999999996</v>
      </c>
      <c r="M217" s="4">
        <f t="shared" si="47"/>
        <v>15.699999999999996</v>
      </c>
      <c r="N217" s="4">
        <f t="shared" si="47"/>
        <v>15.399999999999995</v>
      </c>
      <c r="O217" s="4">
        <f t="shared" si="47"/>
        <v>15.099999999999994</v>
      </c>
      <c r="P217" s="4">
        <f t="shared" si="47"/>
        <v>14.799999999999994</v>
      </c>
      <c r="Q217" s="4">
        <f t="shared" si="47"/>
        <v>14.499999999999993</v>
      </c>
      <c r="R217" s="4">
        <f t="shared" si="47"/>
        <v>14.199999999999992</v>
      </c>
      <c r="S217" s="4">
        <f t="shared" si="47"/>
        <v>13.899999999999991</v>
      </c>
      <c r="T217" s="4">
        <f t="shared" si="47"/>
        <v>13.599999999999991</v>
      </c>
      <c r="U217" s="4">
        <f t="shared" si="47"/>
        <v>13.29999999999999</v>
      </c>
      <c r="V217" s="4">
        <f t="shared" si="47"/>
        <v>12.999999999999989</v>
      </c>
      <c r="W217" s="4">
        <f t="shared" si="47"/>
        <v>12.699999999999989</v>
      </c>
      <c r="X217" s="4">
        <f t="shared" si="47"/>
        <v>12.399999999999988</v>
      </c>
      <c r="Y217" s="4">
        <f t="shared" si="47"/>
        <v>12.099999999999987</v>
      </c>
      <c r="Z217" s="4">
        <f t="shared" si="47"/>
        <v>11.799999999999986</v>
      </c>
      <c r="AA217" s="4">
        <f t="shared" si="47"/>
        <v>11.499999999999986</v>
      </c>
      <c r="AB217" s="4">
        <f t="shared" si="47"/>
        <v>11.199999999999985</v>
      </c>
      <c r="AC217" s="4">
        <f t="shared" si="47"/>
        <v>10.999999999999986</v>
      </c>
      <c r="AD217" s="4">
        <f t="shared" si="47"/>
        <v>10.799999999999986</v>
      </c>
      <c r="AE217" s="4">
        <f t="shared" si="47"/>
        <v>10.599999999999987</v>
      </c>
      <c r="AF217" s="4">
        <f t="shared" si="47"/>
        <v>10.399999999999988</v>
      </c>
      <c r="AG217" s="4">
        <f t="shared" si="47"/>
        <v>10.199999999999989</v>
      </c>
      <c r="AH217" s="4">
        <f t="shared" si="47"/>
        <v>9.9999999999999893</v>
      </c>
      <c r="AI217" s="4">
        <f t="shared" si="47"/>
        <v>9.7999999999999901</v>
      </c>
      <c r="AJ217" s="4">
        <f t="shared" si="47"/>
        <v>9.5999999999999908</v>
      </c>
      <c r="AK217" s="4">
        <f t="shared" si="47"/>
        <v>9.3999999999999915</v>
      </c>
    </row>
    <row r="218" spans="3:37" outlineLevel="1" x14ac:dyDescent="0.25">
      <c r="C218" s="38">
        <v>18.899999999999999</v>
      </c>
      <c r="D218" s="4">
        <f t="shared" si="47"/>
        <v>18.5</v>
      </c>
      <c r="E218" s="4">
        <f t="shared" si="47"/>
        <v>18.100000000000001</v>
      </c>
      <c r="F218" s="4">
        <f t="shared" si="47"/>
        <v>17.8</v>
      </c>
      <c r="G218" s="4">
        <f t="shared" si="47"/>
        <v>17.5</v>
      </c>
      <c r="H218" s="4">
        <f t="shared" si="47"/>
        <v>17.2</v>
      </c>
      <c r="I218" s="4">
        <f t="shared" si="47"/>
        <v>16.899999999999999</v>
      </c>
      <c r="J218" s="4">
        <f t="shared" si="47"/>
        <v>16.599999999999998</v>
      </c>
      <c r="K218" s="4">
        <f t="shared" si="47"/>
        <v>16.299999999999997</v>
      </c>
      <c r="L218" s="4">
        <f t="shared" si="47"/>
        <v>15.999999999999996</v>
      </c>
      <c r="M218" s="4">
        <f t="shared" si="47"/>
        <v>15.699999999999996</v>
      </c>
      <c r="N218" s="4">
        <f t="shared" si="47"/>
        <v>15.399999999999995</v>
      </c>
      <c r="O218" s="4">
        <f t="shared" si="47"/>
        <v>15.099999999999994</v>
      </c>
      <c r="P218" s="4">
        <f t="shared" si="47"/>
        <v>14.799999999999994</v>
      </c>
      <c r="Q218" s="4">
        <f t="shared" si="47"/>
        <v>14.499999999999993</v>
      </c>
      <c r="R218" s="4">
        <f t="shared" si="47"/>
        <v>14.199999999999992</v>
      </c>
      <c r="S218" s="4">
        <f t="shared" si="47"/>
        <v>13.899999999999991</v>
      </c>
      <c r="T218" s="4">
        <f t="shared" si="47"/>
        <v>13.599999999999991</v>
      </c>
      <c r="U218" s="4">
        <f t="shared" si="47"/>
        <v>13.29999999999999</v>
      </c>
      <c r="V218" s="4">
        <f t="shared" si="47"/>
        <v>12.999999999999989</v>
      </c>
      <c r="W218" s="4">
        <f t="shared" si="47"/>
        <v>12.699999999999989</v>
      </c>
      <c r="X218" s="4">
        <f t="shared" si="47"/>
        <v>12.399999999999988</v>
      </c>
      <c r="Y218" s="4">
        <f t="shared" si="47"/>
        <v>12.099999999999987</v>
      </c>
      <c r="Z218" s="4">
        <f t="shared" si="47"/>
        <v>11.799999999999986</v>
      </c>
      <c r="AA218" s="4">
        <f t="shared" si="47"/>
        <v>11.499999999999986</v>
      </c>
      <c r="AB218" s="4">
        <f t="shared" si="47"/>
        <v>11.199999999999985</v>
      </c>
      <c r="AC218" s="4">
        <f t="shared" si="47"/>
        <v>10.999999999999986</v>
      </c>
      <c r="AD218" s="4">
        <f t="shared" si="47"/>
        <v>10.799999999999986</v>
      </c>
      <c r="AE218" s="4">
        <f t="shared" si="47"/>
        <v>10.599999999999987</v>
      </c>
      <c r="AF218" s="4">
        <f t="shared" si="47"/>
        <v>10.399999999999988</v>
      </c>
      <c r="AG218" s="4">
        <f t="shared" si="47"/>
        <v>10.199999999999989</v>
      </c>
      <c r="AH218" s="4">
        <f t="shared" si="47"/>
        <v>9.9999999999999893</v>
      </c>
      <c r="AI218" s="4">
        <f t="shared" si="47"/>
        <v>9.7999999999999901</v>
      </c>
      <c r="AJ218" s="4">
        <f t="shared" si="47"/>
        <v>9.5999999999999908</v>
      </c>
      <c r="AK218" s="4">
        <f t="shared" si="47"/>
        <v>9.3999999999999915</v>
      </c>
    </row>
    <row r="219" spans="3:37" outlineLevel="1" x14ac:dyDescent="0.25">
      <c r="C219" s="38">
        <v>19</v>
      </c>
      <c r="D219" s="4">
        <f t="shared" si="47"/>
        <v>18.600000000000001</v>
      </c>
      <c r="E219" s="4">
        <f t="shared" si="47"/>
        <v>18.200000000000003</v>
      </c>
      <c r="F219" s="4">
        <f t="shared" si="47"/>
        <v>17.900000000000002</v>
      </c>
      <c r="G219" s="4">
        <f t="shared" si="47"/>
        <v>17.600000000000001</v>
      </c>
      <c r="H219" s="4">
        <f t="shared" si="47"/>
        <v>17.3</v>
      </c>
      <c r="I219" s="4">
        <f t="shared" si="47"/>
        <v>17</v>
      </c>
      <c r="J219" s="4">
        <f t="shared" si="47"/>
        <v>16.7</v>
      </c>
      <c r="K219" s="4">
        <f t="shared" si="47"/>
        <v>16.399999999999999</v>
      </c>
      <c r="L219" s="4">
        <f t="shared" si="47"/>
        <v>16.099999999999998</v>
      </c>
      <c r="M219" s="4">
        <f t="shared" si="47"/>
        <v>15.799999999999997</v>
      </c>
      <c r="N219" s="4">
        <f t="shared" si="47"/>
        <v>15.499999999999996</v>
      </c>
      <c r="O219" s="4">
        <f t="shared" si="47"/>
        <v>15.199999999999996</v>
      </c>
      <c r="P219" s="4">
        <f t="shared" si="47"/>
        <v>14.899999999999995</v>
      </c>
      <c r="Q219" s="4">
        <f t="shared" si="47"/>
        <v>14.599999999999994</v>
      </c>
      <c r="R219" s="4">
        <f t="shared" si="47"/>
        <v>14.299999999999994</v>
      </c>
      <c r="S219" s="4">
        <f t="shared" si="47"/>
        <v>13.999999999999993</v>
      </c>
      <c r="T219" s="4">
        <f t="shared" si="47"/>
        <v>13.699999999999992</v>
      </c>
      <c r="U219" s="4">
        <f t="shared" si="47"/>
        <v>13.399999999999991</v>
      </c>
      <c r="V219" s="4">
        <f t="shared" si="47"/>
        <v>13.099999999999991</v>
      </c>
      <c r="W219" s="4">
        <f t="shared" si="47"/>
        <v>12.79999999999999</v>
      </c>
      <c r="X219" s="4">
        <f t="shared" si="47"/>
        <v>12.499999999999989</v>
      </c>
      <c r="Y219" s="4">
        <f t="shared" si="47"/>
        <v>12.199999999999989</v>
      </c>
      <c r="Z219" s="4">
        <f t="shared" si="47"/>
        <v>11.899999999999988</v>
      </c>
      <c r="AA219" s="4">
        <f t="shared" si="47"/>
        <v>11.599999999999987</v>
      </c>
      <c r="AB219" s="4">
        <f t="shared" si="47"/>
        <v>11.299999999999986</v>
      </c>
      <c r="AC219" s="4">
        <f t="shared" si="47"/>
        <v>11.099999999999987</v>
      </c>
      <c r="AD219" s="4">
        <f t="shared" si="47"/>
        <v>10.899999999999988</v>
      </c>
      <c r="AE219" s="4">
        <f t="shared" si="47"/>
        <v>10.699999999999989</v>
      </c>
      <c r="AF219" s="4">
        <f t="shared" si="47"/>
        <v>10.499999999999989</v>
      </c>
      <c r="AG219" s="4">
        <f t="shared" si="47"/>
        <v>10.29999999999999</v>
      </c>
      <c r="AH219" s="4">
        <f t="shared" si="47"/>
        <v>10.099999999999991</v>
      </c>
      <c r="AI219" s="4">
        <f t="shared" si="47"/>
        <v>9.8999999999999915</v>
      </c>
      <c r="AJ219" s="4">
        <f t="shared" si="47"/>
        <v>9.6999999999999922</v>
      </c>
      <c r="AK219" s="4">
        <f t="shared" si="47"/>
        <v>9.4999999999999929</v>
      </c>
    </row>
    <row r="220" spans="3:37" outlineLevel="1" x14ac:dyDescent="0.25">
      <c r="C220" s="38">
        <v>19.100000000000001</v>
      </c>
      <c r="D220" s="4">
        <f t="shared" si="47"/>
        <v>18.700000000000003</v>
      </c>
      <c r="E220" s="4">
        <f t="shared" si="47"/>
        <v>18.300000000000004</v>
      </c>
      <c r="F220" s="4">
        <f t="shared" si="47"/>
        <v>18.000000000000004</v>
      </c>
      <c r="G220" s="4">
        <f t="shared" si="47"/>
        <v>17.700000000000003</v>
      </c>
      <c r="H220" s="4">
        <f t="shared" si="47"/>
        <v>17.400000000000002</v>
      </c>
      <c r="I220" s="4">
        <f t="shared" si="47"/>
        <v>17.100000000000001</v>
      </c>
      <c r="J220" s="4">
        <f t="shared" si="47"/>
        <v>16.8</v>
      </c>
      <c r="K220" s="4">
        <f t="shared" si="47"/>
        <v>16.5</v>
      </c>
      <c r="L220" s="4">
        <f t="shared" si="47"/>
        <v>16.2</v>
      </c>
      <c r="M220" s="4">
        <f t="shared" si="47"/>
        <v>15.899999999999999</v>
      </c>
      <c r="N220" s="4">
        <f t="shared" si="47"/>
        <v>15.599999999999998</v>
      </c>
      <c r="O220" s="4">
        <f t="shared" si="47"/>
        <v>15.299999999999997</v>
      </c>
      <c r="P220" s="4">
        <f t="shared" si="47"/>
        <v>14.999999999999996</v>
      </c>
      <c r="Q220" s="4">
        <f t="shared" si="47"/>
        <v>14.699999999999996</v>
      </c>
      <c r="R220" s="4">
        <f t="shared" si="47"/>
        <v>14.399999999999995</v>
      </c>
      <c r="S220" s="4">
        <f t="shared" si="47"/>
        <v>14.099999999999994</v>
      </c>
      <c r="T220" s="4">
        <f t="shared" si="47"/>
        <v>13.799999999999994</v>
      </c>
      <c r="U220" s="4">
        <f t="shared" si="47"/>
        <v>13.499999999999993</v>
      </c>
      <c r="V220" s="4">
        <f t="shared" si="47"/>
        <v>13.199999999999992</v>
      </c>
      <c r="W220" s="4">
        <f t="shared" si="47"/>
        <v>12.899999999999991</v>
      </c>
      <c r="X220" s="4">
        <f t="shared" si="47"/>
        <v>12.599999999999991</v>
      </c>
      <c r="Y220" s="4">
        <f t="shared" si="47"/>
        <v>12.29999999999999</v>
      </c>
      <c r="Z220" s="4">
        <f t="shared" si="47"/>
        <v>11.999999999999989</v>
      </c>
      <c r="AA220" s="4">
        <f t="shared" si="47"/>
        <v>11.699999999999989</v>
      </c>
      <c r="AB220" s="4">
        <f t="shared" si="47"/>
        <v>11.399999999999988</v>
      </c>
      <c r="AC220" s="4">
        <f t="shared" si="47"/>
        <v>11.199999999999989</v>
      </c>
      <c r="AD220" s="4">
        <f t="shared" si="47"/>
        <v>10.999999999999989</v>
      </c>
      <c r="AE220" s="4">
        <f t="shared" si="47"/>
        <v>10.79999999999999</v>
      </c>
      <c r="AF220" s="4">
        <f t="shared" si="47"/>
        <v>10.599999999999991</v>
      </c>
      <c r="AG220" s="4">
        <f t="shared" si="47"/>
        <v>10.399999999999991</v>
      </c>
      <c r="AH220" s="4">
        <f t="shared" si="47"/>
        <v>10.199999999999992</v>
      </c>
      <c r="AI220" s="4">
        <f t="shared" si="47"/>
        <v>9.9999999999999929</v>
      </c>
      <c r="AJ220" s="4">
        <f t="shared" si="47"/>
        <v>9.7999999999999936</v>
      </c>
      <c r="AK220" s="4">
        <f t="shared" si="47"/>
        <v>9.5999999999999943</v>
      </c>
    </row>
    <row r="221" spans="3:37" outlineLevel="1" x14ac:dyDescent="0.25">
      <c r="C221" s="38">
        <v>19.2</v>
      </c>
      <c r="D221" s="4">
        <f t="shared" si="47"/>
        <v>18.8</v>
      </c>
      <c r="E221" s="4">
        <f t="shared" si="47"/>
        <v>18.400000000000002</v>
      </c>
      <c r="F221" s="4">
        <f t="shared" si="47"/>
        <v>18.100000000000001</v>
      </c>
      <c r="G221" s="4">
        <f t="shared" si="47"/>
        <v>17.8</v>
      </c>
      <c r="H221" s="4">
        <f t="shared" si="47"/>
        <v>17.5</v>
      </c>
      <c r="I221" s="4">
        <f t="shared" si="47"/>
        <v>17.2</v>
      </c>
      <c r="J221" s="4">
        <f t="shared" si="47"/>
        <v>16.899999999999999</v>
      </c>
      <c r="K221" s="4">
        <f t="shared" si="47"/>
        <v>16.599999999999998</v>
      </c>
      <c r="L221" s="4">
        <f t="shared" si="47"/>
        <v>16.299999999999997</v>
      </c>
      <c r="M221" s="4">
        <f t="shared" si="47"/>
        <v>15.999999999999996</v>
      </c>
      <c r="N221" s="4">
        <f t="shared" si="47"/>
        <v>15.699999999999996</v>
      </c>
      <c r="O221" s="4">
        <f t="shared" si="47"/>
        <v>15.399999999999995</v>
      </c>
      <c r="P221" s="4">
        <f t="shared" si="47"/>
        <v>15.099999999999994</v>
      </c>
      <c r="Q221" s="4">
        <f t="shared" si="47"/>
        <v>14.799999999999994</v>
      </c>
      <c r="R221" s="4">
        <f t="shared" si="47"/>
        <v>14.499999999999993</v>
      </c>
      <c r="S221" s="4">
        <f t="shared" si="47"/>
        <v>14.199999999999992</v>
      </c>
      <c r="T221" s="4">
        <f t="shared" si="47"/>
        <v>13.899999999999991</v>
      </c>
      <c r="U221" s="4">
        <f t="shared" si="47"/>
        <v>13.599999999999991</v>
      </c>
      <c r="V221" s="4">
        <f t="shared" si="47"/>
        <v>13.29999999999999</v>
      </c>
      <c r="W221" s="4">
        <f t="shared" si="47"/>
        <v>12.999999999999989</v>
      </c>
      <c r="X221" s="4">
        <f t="shared" si="47"/>
        <v>12.699999999999989</v>
      </c>
      <c r="Y221" s="4">
        <f t="shared" si="47"/>
        <v>12.399999999999988</v>
      </c>
      <c r="Z221" s="4">
        <f t="shared" si="47"/>
        <v>12.099999999999987</v>
      </c>
      <c r="AA221" s="4">
        <f t="shared" si="47"/>
        <v>11.799999999999986</v>
      </c>
      <c r="AB221" s="4">
        <f t="shared" si="47"/>
        <v>11.499999999999986</v>
      </c>
      <c r="AC221" s="4">
        <f t="shared" si="47"/>
        <v>11.199999999999985</v>
      </c>
      <c r="AD221" s="4">
        <f t="shared" si="47"/>
        <v>10.999999999999986</v>
      </c>
      <c r="AE221" s="4">
        <f t="shared" si="47"/>
        <v>10.799999999999986</v>
      </c>
      <c r="AF221" s="4">
        <f t="shared" si="47"/>
        <v>10.599999999999987</v>
      </c>
      <c r="AG221" s="4">
        <f t="shared" si="47"/>
        <v>10.399999999999988</v>
      </c>
      <c r="AH221" s="4">
        <f t="shared" si="47"/>
        <v>10.199999999999989</v>
      </c>
      <c r="AI221" s="4">
        <f t="shared" si="47"/>
        <v>9.9999999999999893</v>
      </c>
      <c r="AJ221" s="4">
        <f t="shared" si="47"/>
        <v>9.7999999999999901</v>
      </c>
      <c r="AK221" s="4">
        <f t="shared" si="47"/>
        <v>9.5999999999999908</v>
      </c>
    </row>
    <row r="222" spans="3:37" outlineLevel="1" x14ac:dyDescent="0.25">
      <c r="C222" s="38">
        <v>19.3</v>
      </c>
      <c r="D222" s="4">
        <f t="shared" si="47"/>
        <v>18.900000000000002</v>
      </c>
      <c r="E222" s="4">
        <f t="shared" si="47"/>
        <v>18.500000000000004</v>
      </c>
      <c r="F222" s="4">
        <f t="shared" si="47"/>
        <v>18.100000000000005</v>
      </c>
      <c r="G222" s="4">
        <f t="shared" si="47"/>
        <v>17.800000000000004</v>
      </c>
      <c r="H222" s="4">
        <f t="shared" si="47"/>
        <v>17.500000000000004</v>
      </c>
      <c r="I222" s="4">
        <f t="shared" si="47"/>
        <v>17.200000000000003</v>
      </c>
      <c r="J222" s="4">
        <f t="shared" si="47"/>
        <v>16.900000000000002</v>
      </c>
      <c r="K222" s="4">
        <f t="shared" si="47"/>
        <v>16.600000000000001</v>
      </c>
      <c r="L222" s="4">
        <f t="shared" si="47"/>
        <v>16.3</v>
      </c>
      <c r="M222" s="4">
        <f t="shared" si="47"/>
        <v>16</v>
      </c>
      <c r="N222" s="4">
        <f t="shared" si="47"/>
        <v>15.7</v>
      </c>
      <c r="O222" s="4">
        <f t="shared" si="47"/>
        <v>15.399999999999999</v>
      </c>
      <c r="P222" s="4">
        <f t="shared" si="47"/>
        <v>15.099999999999998</v>
      </c>
      <c r="Q222" s="4">
        <f t="shared" si="47"/>
        <v>14.799999999999997</v>
      </c>
      <c r="R222" s="4">
        <f t="shared" si="47"/>
        <v>14.499999999999996</v>
      </c>
      <c r="S222" s="4">
        <f t="shared" si="47"/>
        <v>14.199999999999996</v>
      </c>
      <c r="T222" s="4">
        <f t="shared" si="47"/>
        <v>13.899999999999995</v>
      </c>
      <c r="U222" s="4">
        <f t="shared" si="47"/>
        <v>13.599999999999994</v>
      </c>
      <c r="V222" s="4">
        <f t="shared" si="47"/>
        <v>13.299999999999994</v>
      </c>
      <c r="W222" s="4">
        <f t="shared" si="47"/>
        <v>12.999999999999993</v>
      </c>
      <c r="X222" s="4">
        <f t="shared" si="47"/>
        <v>12.699999999999992</v>
      </c>
      <c r="Y222" s="4">
        <f t="shared" si="47"/>
        <v>12.399999999999991</v>
      </c>
      <c r="Z222" s="4">
        <f t="shared" si="47"/>
        <v>12.099999999999991</v>
      </c>
      <c r="AA222" s="4">
        <f t="shared" si="47"/>
        <v>11.79999999999999</v>
      </c>
      <c r="AB222" s="4">
        <f t="shared" si="47"/>
        <v>11.499999999999989</v>
      </c>
      <c r="AC222" s="4">
        <f t="shared" si="47"/>
        <v>11.199999999999989</v>
      </c>
      <c r="AD222" s="4">
        <f t="shared" si="47"/>
        <v>10.999999999999989</v>
      </c>
      <c r="AE222" s="4">
        <f t="shared" si="47"/>
        <v>10.79999999999999</v>
      </c>
      <c r="AF222" s="4">
        <f t="shared" si="47"/>
        <v>10.599999999999991</v>
      </c>
      <c r="AG222" s="4">
        <f t="shared" si="47"/>
        <v>10.399999999999991</v>
      </c>
      <c r="AH222" s="4">
        <f t="shared" si="47"/>
        <v>10.199999999999992</v>
      </c>
      <c r="AI222" s="4">
        <f t="shared" si="47"/>
        <v>9.9999999999999929</v>
      </c>
      <c r="AJ222" s="4">
        <f t="shared" si="47"/>
        <v>9.7999999999999936</v>
      </c>
      <c r="AK222" s="4">
        <f t="shared" si="47"/>
        <v>9.5999999999999943</v>
      </c>
    </row>
    <row r="223" spans="3:37" outlineLevel="1" x14ac:dyDescent="0.25">
      <c r="C223" s="38">
        <v>19.399999999999999</v>
      </c>
      <c r="D223" s="4">
        <f t="shared" si="47"/>
        <v>19</v>
      </c>
      <c r="E223" s="4">
        <f t="shared" si="47"/>
        <v>18.600000000000001</v>
      </c>
      <c r="F223" s="4">
        <f t="shared" si="47"/>
        <v>18.200000000000003</v>
      </c>
      <c r="G223" s="4">
        <f t="shared" si="47"/>
        <v>17.900000000000002</v>
      </c>
      <c r="H223" s="4">
        <f t="shared" si="47"/>
        <v>17.600000000000001</v>
      </c>
      <c r="I223" s="4">
        <f t="shared" si="47"/>
        <v>17.3</v>
      </c>
      <c r="J223" s="4">
        <f t="shared" si="47"/>
        <v>17</v>
      </c>
      <c r="K223" s="4">
        <f t="shared" si="47"/>
        <v>16.7</v>
      </c>
      <c r="L223" s="4">
        <f t="shared" si="47"/>
        <v>16.399999999999999</v>
      </c>
      <c r="M223" s="4">
        <f t="shared" si="47"/>
        <v>16.099999999999998</v>
      </c>
      <c r="N223" s="4">
        <f t="shared" si="47"/>
        <v>15.799999999999997</v>
      </c>
      <c r="O223" s="4">
        <f t="shared" si="47"/>
        <v>15.499999999999996</v>
      </c>
      <c r="P223" s="4">
        <f t="shared" si="47"/>
        <v>15.199999999999996</v>
      </c>
      <c r="Q223" s="4">
        <f t="shared" si="47"/>
        <v>14.899999999999995</v>
      </c>
      <c r="R223" s="4">
        <f t="shared" si="47"/>
        <v>14.599999999999994</v>
      </c>
      <c r="S223" s="4">
        <f t="shared" si="47"/>
        <v>14.299999999999994</v>
      </c>
      <c r="T223" s="4">
        <f t="shared" si="47"/>
        <v>13.999999999999993</v>
      </c>
      <c r="U223" s="4">
        <f t="shared" si="47"/>
        <v>13.699999999999992</v>
      </c>
      <c r="V223" s="4">
        <f t="shared" si="47"/>
        <v>13.399999999999991</v>
      </c>
      <c r="W223" s="4">
        <f t="shared" si="47"/>
        <v>13.099999999999991</v>
      </c>
      <c r="X223" s="4">
        <f t="shared" si="47"/>
        <v>12.79999999999999</v>
      </c>
      <c r="Y223" s="4">
        <f t="shared" si="47"/>
        <v>12.499999999999989</v>
      </c>
      <c r="Z223" s="4">
        <f t="shared" si="47"/>
        <v>12.199999999999989</v>
      </c>
      <c r="AA223" s="4">
        <f t="shared" si="47"/>
        <v>11.899999999999988</v>
      </c>
      <c r="AB223" s="4">
        <f t="shared" si="47"/>
        <v>11.599999999999987</v>
      </c>
      <c r="AC223" s="4">
        <f t="shared" si="47"/>
        <v>11.299999999999986</v>
      </c>
      <c r="AD223" s="4">
        <f t="shared" si="47"/>
        <v>11.099999999999987</v>
      </c>
      <c r="AE223" s="4">
        <f t="shared" si="47"/>
        <v>10.899999999999988</v>
      </c>
      <c r="AF223" s="4">
        <f t="shared" si="47"/>
        <v>10.699999999999989</v>
      </c>
      <c r="AG223" s="4">
        <f t="shared" si="47"/>
        <v>10.499999999999989</v>
      </c>
      <c r="AH223" s="4">
        <f t="shared" si="47"/>
        <v>10.29999999999999</v>
      </c>
      <c r="AI223" s="4">
        <f t="shared" si="47"/>
        <v>10.099999999999991</v>
      </c>
      <c r="AJ223" s="4">
        <f t="shared" si="47"/>
        <v>9.8999999999999915</v>
      </c>
      <c r="AK223" s="4">
        <f t="shared" si="47"/>
        <v>9.6999999999999922</v>
      </c>
    </row>
    <row r="224" spans="3:37" outlineLevel="1" x14ac:dyDescent="0.25">
      <c r="C224" s="38">
        <v>19.5</v>
      </c>
      <c r="D224" s="4">
        <f t="shared" si="47"/>
        <v>19.100000000000001</v>
      </c>
      <c r="E224" s="4">
        <f t="shared" si="47"/>
        <v>18.700000000000003</v>
      </c>
      <c r="F224" s="4">
        <f t="shared" si="47"/>
        <v>18.300000000000004</v>
      </c>
      <c r="G224" s="4">
        <f t="shared" si="47"/>
        <v>18.000000000000004</v>
      </c>
      <c r="H224" s="4">
        <f t="shared" si="47"/>
        <v>17.700000000000003</v>
      </c>
      <c r="I224" s="4">
        <f t="shared" si="47"/>
        <v>17.400000000000002</v>
      </c>
      <c r="J224" s="4">
        <f t="shared" si="47"/>
        <v>17.100000000000001</v>
      </c>
      <c r="K224" s="4">
        <f t="shared" si="47"/>
        <v>16.8</v>
      </c>
      <c r="L224" s="4">
        <f t="shared" si="47"/>
        <v>16.5</v>
      </c>
      <c r="M224" s="4">
        <f t="shared" si="47"/>
        <v>16.2</v>
      </c>
      <c r="N224" s="4">
        <f t="shared" si="47"/>
        <v>15.899999999999999</v>
      </c>
      <c r="O224" s="4">
        <f t="shared" si="47"/>
        <v>15.599999999999998</v>
      </c>
      <c r="P224" s="4">
        <f t="shared" si="47"/>
        <v>15.299999999999997</v>
      </c>
      <c r="Q224" s="4">
        <f t="shared" si="47"/>
        <v>14.999999999999996</v>
      </c>
      <c r="R224" s="4">
        <f t="shared" si="47"/>
        <v>14.699999999999996</v>
      </c>
      <c r="S224" s="4">
        <f t="shared" si="47"/>
        <v>14.399999999999995</v>
      </c>
      <c r="T224" s="4">
        <f t="shared" si="47"/>
        <v>14.099999999999994</v>
      </c>
      <c r="U224" s="4">
        <f t="shared" ref="U224:AK224" si="48">(IF(T224&lt;=4.4,T224-$E$6,IF(AND(T224&gt;=4.5,T224&lt;=11.4),T224-$E$7,IF(AND(T224&gt;=11.5,T224&lt;=18.4),T224-$E$8,IF(AND(T224&gt;=18.5,T224&lt;=26.4),T224-$E$9,IF(AND(T224&gt;=26.4,T224&lt;=36),T224-$E$10,IF(T224&gt;=37,T224-$E$11)))))))</f>
        <v>13.799999999999994</v>
      </c>
      <c r="V224" s="4">
        <f t="shared" si="48"/>
        <v>13.499999999999993</v>
      </c>
      <c r="W224" s="4">
        <f t="shared" si="48"/>
        <v>13.199999999999992</v>
      </c>
      <c r="X224" s="4">
        <f t="shared" si="48"/>
        <v>12.899999999999991</v>
      </c>
      <c r="Y224" s="4">
        <f t="shared" si="48"/>
        <v>12.599999999999991</v>
      </c>
      <c r="Z224" s="4">
        <f t="shared" si="48"/>
        <v>12.29999999999999</v>
      </c>
      <c r="AA224" s="4">
        <f t="shared" si="48"/>
        <v>11.999999999999989</v>
      </c>
      <c r="AB224" s="4">
        <f t="shared" si="48"/>
        <v>11.699999999999989</v>
      </c>
      <c r="AC224" s="4">
        <f t="shared" si="48"/>
        <v>11.399999999999988</v>
      </c>
      <c r="AD224" s="4">
        <f t="shared" si="48"/>
        <v>11.199999999999989</v>
      </c>
      <c r="AE224" s="4">
        <f t="shared" si="48"/>
        <v>10.999999999999989</v>
      </c>
      <c r="AF224" s="4">
        <f t="shared" si="48"/>
        <v>10.79999999999999</v>
      </c>
      <c r="AG224" s="4">
        <f t="shared" si="48"/>
        <v>10.599999999999991</v>
      </c>
      <c r="AH224" s="4">
        <f t="shared" si="48"/>
        <v>10.399999999999991</v>
      </c>
      <c r="AI224" s="4">
        <f t="shared" si="48"/>
        <v>10.199999999999992</v>
      </c>
      <c r="AJ224" s="4">
        <f t="shared" si="48"/>
        <v>9.9999999999999929</v>
      </c>
      <c r="AK224" s="4">
        <f t="shared" si="48"/>
        <v>9.7999999999999936</v>
      </c>
    </row>
    <row r="225" spans="3:37" outlineLevel="1" x14ac:dyDescent="0.25">
      <c r="C225" s="38">
        <v>19.600000000000001</v>
      </c>
      <c r="D225" s="4">
        <f t="shared" ref="D225:AK232" si="49">(IF(C225&lt;=4.4,C225-$E$6,IF(AND(C225&gt;=4.5,C225&lt;=11.4),C225-$E$7,IF(AND(C225&gt;=11.5,C225&lt;=18.4),C225-$E$8,IF(AND(C225&gt;=18.5,C225&lt;=26.4),C225-$E$9,IF(AND(C225&gt;=26.4,C225&lt;=36),C225-$E$10,IF(C225&gt;=37,C225-$E$11)))))))</f>
        <v>19.200000000000003</v>
      </c>
      <c r="E225" s="4">
        <f t="shared" si="49"/>
        <v>18.800000000000004</v>
      </c>
      <c r="F225" s="4">
        <f t="shared" si="49"/>
        <v>18.400000000000006</v>
      </c>
      <c r="G225" s="4">
        <f t="shared" si="49"/>
        <v>18.100000000000005</v>
      </c>
      <c r="H225" s="4">
        <f t="shared" si="49"/>
        <v>17.800000000000004</v>
      </c>
      <c r="I225" s="4">
        <f t="shared" si="49"/>
        <v>17.500000000000004</v>
      </c>
      <c r="J225" s="4">
        <f t="shared" si="49"/>
        <v>17.200000000000003</v>
      </c>
      <c r="K225" s="4">
        <f t="shared" si="49"/>
        <v>16.900000000000002</v>
      </c>
      <c r="L225" s="4">
        <f t="shared" si="49"/>
        <v>16.600000000000001</v>
      </c>
      <c r="M225" s="4">
        <f t="shared" si="49"/>
        <v>16.3</v>
      </c>
      <c r="N225" s="4">
        <f t="shared" si="49"/>
        <v>16</v>
      </c>
      <c r="O225" s="4">
        <f t="shared" si="49"/>
        <v>15.7</v>
      </c>
      <c r="P225" s="4">
        <f t="shared" si="49"/>
        <v>15.399999999999999</v>
      </c>
      <c r="Q225" s="4">
        <f t="shared" si="49"/>
        <v>15.099999999999998</v>
      </c>
      <c r="R225" s="4">
        <f t="shared" si="49"/>
        <v>14.799999999999997</v>
      </c>
      <c r="S225" s="4">
        <f t="shared" si="49"/>
        <v>14.499999999999996</v>
      </c>
      <c r="T225" s="4">
        <f t="shared" si="49"/>
        <v>14.199999999999996</v>
      </c>
      <c r="U225" s="4">
        <f t="shared" si="49"/>
        <v>13.899999999999995</v>
      </c>
      <c r="V225" s="4">
        <f t="shared" si="49"/>
        <v>13.599999999999994</v>
      </c>
      <c r="W225" s="4">
        <f t="shared" si="49"/>
        <v>13.299999999999994</v>
      </c>
      <c r="X225" s="4">
        <f t="shared" si="49"/>
        <v>12.999999999999993</v>
      </c>
      <c r="Y225" s="4">
        <f t="shared" si="49"/>
        <v>12.699999999999992</v>
      </c>
      <c r="Z225" s="4">
        <f t="shared" si="49"/>
        <v>12.399999999999991</v>
      </c>
      <c r="AA225" s="4">
        <f t="shared" si="49"/>
        <v>12.099999999999991</v>
      </c>
      <c r="AB225" s="4">
        <f t="shared" si="49"/>
        <v>11.79999999999999</v>
      </c>
      <c r="AC225" s="4">
        <f t="shared" si="49"/>
        <v>11.499999999999989</v>
      </c>
      <c r="AD225" s="4">
        <f t="shared" si="49"/>
        <v>11.199999999999989</v>
      </c>
      <c r="AE225" s="4">
        <f t="shared" si="49"/>
        <v>10.999999999999989</v>
      </c>
      <c r="AF225" s="4">
        <f t="shared" si="49"/>
        <v>10.79999999999999</v>
      </c>
      <c r="AG225" s="4">
        <f t="shared" si="49"/>
        <v>10.599999999999991</v>
      </c>
      <c r="AH225" s="4">
        <f t="shared" si="49"/>
        <v>10.399999999999991</v>
      </c>
      <c r="AI225" s="4">
        <f t="shared" si="49"/>
        <v>10.199999999999992</v>
      </c>
      <c r="AJ225" s="4">
        <f t="shared" si="49"/>
        <v>9.9999999999999929</v>
      </c>
      <c r="AK225" s="4">
        <f t="shared" si="49"/>
        <v>9.7999999999999936</v>
      </c>
    </row>
    <row r="226" spans="3:37" outlineLevel="1" x14ac:dyDescent="0.25">
      <c r="C226" s="38">
        <v>19.7</v>
      </c>
      <c r="D226" s="4">
        <f t="shared" si="49"/>
        <v>19.3</v>
      </c>
      <c r="E226" s="4">
        <f t="shared" si="49"/>
        <v>18.900000000000002</v>
      </c>
      <c r="F226" s="4">
        <f t="shared" si="49"/>
        <v>18.500000000000004</v>
      </c>
      <c r="G226" s="4">
        <f t="shared" si="49"/>
        <v>18.100000000000005</v>
      </c>
      <c r="H226" s="4">
        <f t="shared" si="49"/>
        <v>17.800000000000004</v>
      </c>
      <c r="I226" s="4">
        <f t="shared" si="49"/>
        <v>17.500000000000004</v>
      </c>
      <c r="J226" s="4">
        <f t="shared" si="49"/>
        <v>17.200000000000003</v>
      </c>
      <c r="K226" s="4">
        <f t="shared" si="49"/>
        <v>16.900000000000002</v>
      </c>
      <c r="L226" s="4">
        <f t="shared" si="49"/>
        <v>16.600000000000001</v>
      </c>
      <c r="M226" s="4">
        <f t="shared" si="49"/>
        <v>16.3</v>
      </c>
      <c r="N226" s="4">
        <f t="shared" si="49"/>
        <v>16</v>
      </c>
      <c r="O226" s="4">
        <f t="shared" si="49"/>
        <v>15.7</v>
      </c>
      <c r="P226" s="4">
        <f t="shared" si="49"/>
        <v>15.399999999999999</v>
      </c>
      <c r="Q226" s="4">
        <f t="shared" si="49"/>
        <v>15.099999999999998</v>
      </c>
      <c r="R226" s="4">
        <f t="shared" si="49"/>
        <v>14.799999999999997</v>
      </c>
      <c r="S226" s="4">
        <f t="shared" si="49"/>
        <v>14.499999999999996</v>
      </c>
      <c r="T226" s="4">
        <f t="shared" si="49"/>
        <v>14.199999999999996</v>
      </c>
      <c r="U226" s="4">
        <f t="shared" si="49"/>
        <v>13.899999999999995</v>
      </c>
      <c r="V226" s="4">
        <f t="shared" si="49"/>
        <v>13.599999999999994</v>
      </c>
      <c r="W226" s="4">
        <f t="shared" si="49"/>
        <v>13.299999999999994</v>
      </c>
      <c r="X226" s="4">
        <f t="shared" si="49"/>
        <v>12.999999999999993</v>
      </c>
      <c r="Y226" s="4">
        <f t="shared" si="49"/>
        <v>12.699999999999992</v>
      </c>
      <c r="Z226" s="4">
        <f t="shared" si="49"/>
        <v>12.399999999999991</v>
      </c>
      <c r="AA226" s="4">
        <f t="shared" si="49"/>
        <v>12.099999999999991</v>
      </c>
      <c r="AB226" s="4">
        <f t="shared" si="49"/>
        <v>11.79999999999999</v>
      </c>
      <c r="AC226" s="4">
        <f t="shared" si="49"/>
        <v>11.499999999999989</v>
      </c>
      <c r="AD226" s="4">
        <f t="shared" si="49"/>
        <v>11.199999999999989</v>
      </c>
      <c r="AE226" s="4">
        <f t="shared" si="49"/>
        <v>10.999999999999989</v>
      </c>
      <c r="AF226" s="4">
        <f t="shared" si="49"/>
        <v>10.79999999999999</v>
      </c>
      <c r="AG226" s="4">
        <f t="shared" si="49"/>
        <v>10.599999999999991</v>
      </c>
      <c r="AH226" s="4">
        <f t="shared" si="49"/>
        <v>10.399999999999991</v>
      </c>
      <c r="AI226" s="4">
        <f t="shared" si="49"/>
        <v>10.199999999999992</v>
      </c>
      <c r="AJ226" s="4">
        <f t="shared" si="49"/>
        <v>9.9999999999999929</v>
      </c>
      <c r="AK226" s="4">
        <f t="shared" si="49"/>
        <v>9.7999999999999936</v>
      </c>
    </row>
    <row r="227" spans="3:37" outlineLevel="1" x14ac:dyDescent="0.25">
      <c r="C227" s="38">
        <v>19.8</v>
      </c>
      <c r="D227" s="4">
        <f t="shared" si="49"/>
        <v>19.400000000000002</v>
      </c>
      <c r="E227" s="4">
        <f t="shared" si="49"/>
        <v>19.000000000000004</v>
      </c>
      <c r="F227" s="4">
        <f t="shared" si="49"/>
        <v>18.600000000000005</v>
      </c>
      <c r="G227" s="4">
        <f t="shared" si="49"/>
        <v>18.200000000000006</v>
      </c>
      <c r="H227" s="4">
        <f t="shared" si="49"/>
        <v>17.900000000000006</v>
      </c>
      <c r="I227" s="4">
        <f t="shared" si="49"/>
        <v>17.600000000000005</v>
      </c>
      <c r="J227" s="4">
        <f t="shared" si="49"/>
        <v>17.300000000000004</v>
      </c>
      <c r="K227" s="4">
        <f t="shared" si="49"/>
        <v>17.000000000000004</v>
      </c>
      <c r="L227" s="4">
        <f t="shared" si="49"/>
        <v>16.700000000000003</v>
      </c>
      <c r="M227" s="4">
        <f t="shared" si="49"/>
        <v>16.400000000000002</v>
      </c>
      <c r="N227" s="4">
        <f t="shared" si="49"/>
        <v>16.100000000000001</v>
      </c>
      <c r="O227" s="4">
        <f t="shared" si="49"/>
        <v>15.8</v>
      </c>
      <c r="P227" s="4">
        <f t="shared" si="49"/>
        <v>15.5</v>
      </c>
      <c r="Q227" s="4">
        <f t="shared" si="49"/>
        <v>15.2</v>
      </c>
      <c r="R227" s="4">
        <f t="shared" si="49"/>
        <v>14.899999999999999</v>
      </c>
      <c r="S227" s="4">
        <f t="shared" si="49"/>
        <v>14.599999999999998</v>
      </c>
      <c r="T227" s="4">
        <f t="shared" si="49"/>
        <v>14.299999999999997</v>
      </c>
      <c r="U227" s="4">
        <f t="shared" si="49"/>
        <v>13.999999999999996</v>
      </c>
      <c r="V227" s="4">
        <f t="shared" si="49"/>
        <v>13.699999999999996</v>
      </c>
      <c r="W227" s="4">
        <f t="shared" si="49"/>
        <v>13.399999999999995</v>
      </c>
      <c r="X227" s="4">
        <f t="shared" si="49"/>
        <v>13.099999999999994</v>
      </c>
      <c r="Y227" s="4">
        <f t="shared" si="49"/>
        <v>12.799999999999994</v>
      </c>
      <c r="Z227" s="4">
        <f t="shared" si="49"/>
        <v>12.499999999999993</v>
      </c>
      <c r="AA227" s="4">
        <f t="shared" si="49"/>
        <v>12.199999999999992</v>
      </c>
      <c r="AB227" s="4">
        <f t="shared" si="49"/>
        <v>11.899999999999991</v>
      </c>
      <c r="AC227" s="4">
        <f t="shared" si="49"/>
        <v>11.599999999999991</v>
      </c>
      <c r="AD227" s="4">
        <f t="shared" si="49"/>
        <v>11.29999999999999</v>
      </c>
      <c r="AE227" s="4">
        <f t="shared" si="49"/>
        <v>11.099999999999991</v>
      </c>
      <c r="AF227" s="4">
        <f t="shared" si="49"/>
        <v>10.899999999999991</v>
      </c>
      <c r="AG227" s="4">
        <f t="shared" si="49"/>
        <v>10.699999999999992</v>
      </c>
      <c r="AH227" s="4">
        <f t="shared" si="49"/>
        <v>10.499999999999993</v>
      </c>
      <c r="AI227" s="4">
        <f t="shared" si="49"/>
        <v>10.299999999999994</v>
      </c>
      <c r="AJ227" s="4">
        <f t="shared" si="49"/>
        <v>10.099999999999994</v>
      </c>
      <c r="AK227" s="4">
        <f t="shared" si="49"/>
        <v>9.899999999999995</v>
      </c>
    </row>
    <row r="228" spans="3:37" outlineLevel="1" x14ac:dyDescent="0.25">
      <c r="C228" s="38">
        <v>19.899999999999999</v>
      </c>
      <c r="D228" s="4">
        <f t="shared" si="49"/>
        <v>19.5</v>
      </c>
      <c r="E228" s="4">
        <f t="shared" si="49"/>
        <v>19.100000000000001</v>
      </c>
      <c r="F228" s="4">
        <f t="shared" si="49"/>
        <v>18.700000000000003</v>
      </c>
      <c r="G228" s="4">
        <f t="shared" si="49"/>
        <v>18.300000000000004</v>
      </c>
      <c r="H228" s="4">
        <f t="shared" si="49"/>
        <v>18.000000000000004</v>
      </c>
      <c r="I228" s="4">
        <f t="shared" si="49"/>
        <v>17.700000000000003</v>
      </c>
      <c r="J228" s="4">
        <f t="shared" si="49"/>
        <v>17.400000000000002</v>
      </c>
      <c r="K228" s="4">
        <f t="shared" si="49"/>
        <v>17.100000000000001</v>
      </c>
      <c r="L228" s="4">
        <f t="shared" si="49"/>
        <v>16.8</v>
      </c>
      <c r="M228" s="4">
        <f t="shared" si="49"/>
        <v>16.5</v>
      </c>
      <c r="N228" s="4">
        <f t="shared" si="49"/>
        <v>16.2</v>
      </c>
      <c r="O228" s="4">
        <f t="shared" si="49"/>
        <v>15.899999999999999</v>
      </c>
      <c r="P228" s="4">
        <f t="shared" si="49"/>
        <v>15.599999999999998</v>
      </c>
      <c r="Q228" s="4">
        <f t="shared" si="49"/>
        <v>15.299999999999997</v>
      </c>
      <c r="R228" s="4">
        <f t="shared" si="49"/>
        <v>14.999999999999996</v>
      </c>
      <c r="S228" s="4">
        <f t="shared" si="49"/>
        <v>14.699999999999996</v>
      </c>
      <c r="T228" s="4">
        <f t="shared" si="49"/>
        <v>14.399999999999995</v>
      </c>
      <c r="U228" s="4">
        <f t="shared" si="49"/>
        <v>14.099999999999994</v>
      </c>
      <c r="V228" s="4">
        <f t="shared" si="49"/>
        <v>13.799999999999994</v>
      </c>
      <c r="W228" s="4">
        <f t="shared" si="49"/>
        <v>13.499999999999993</v>
      </c>
      <c r="X228" s="4">
        <f t="shared" si="49"/>
        <v>13.199999999999992</v>
      </c>
      <c r="Y228" s="4">
        <f t="shared" si="49"/>
        <v>12.899999999999991</v>
      </c>
      <c r="Z228" s="4">
        <f t="shared" si="49"/>
        <v>12.599999999999991</v>
      </c>
      <c r="AA228" s="4">
        <f t="shared" si="49"/>
        <v>12.29999999999999</v>
      </c>
      <c r="AB228" s="4">
        <f t="shared" si="49"/>
        <v>11.999999999999989</v>
      </c>
      <c r="AC228" s="4">
        <f t="shared" si="49"/>
        <v>11.699999999999989</v>
      </c>
      <c r="AD228" s="4">
        <f t="shared" si="49"/>
        <v>11.399999999999988</v>
      </c>
      <c r="AE228" s="4">
        <f t="shared" si="49"/>
        <v>11.199999999999989</v>
      </c>
      <c r="AF228" s="4">
        <f t="shared" si="49"/>
        <v>10.999999999999989</v>
      </c>
      <c r="AG228" s="4">
        <f t="shared" si="49"/>
        <v>10.79999999999999</v>
      </c>
      <c r="AH228" s="4">
        <f t="shared" si="49"/>
        <v>10.599999999999991</v>
      </c>
      <c r="AI228" s="4">
        <f t="shared" si="49"/>
        <v>10.399999999999991</v>
      </c>
      <c r="AJ228" s="4">
        <f t="shared" si="49"/>
        <v>10.199999999999992</v>
      </c>
      <c r="AK228" s="4">
        <f t="shared" si="49"/>
        <v>9.9999999999999929</v>
      </c>
    </row>
    <row r="229" spans="3:37" outlineLevel="1" x14ac:dyDescent="0.25">
      <c r="C229" s="38">
        <v>20</v>
      </c>
      <c r="D229" s="4">
        <f t="shared" si="49"/>
        <v>19.600000000000001</v>
      </c>
      <c r="E229" s="4">
        <f t="shared" si="49"/>
        <v>19.200000000000003</v>
      </c>
      <c r="F229" s="4">
        <f t="shared" si="49"/>
        <v>18.800000000000004</v>
      </c>
      <c r="G229" s="4">
        <f t="shared" si="49"/>
        <v>18.400000000000006</v>
      </c>
      <c r="H229" s="4">
        <f t="shared" si="49"/>
        <v>18.100000000000005</v>
      </c>
      <c r="I229" s="4">
        <f t="shared" si="49"/>
        <v>17.800000000000004</v>
      </c>
      <c r="J229" s="4">
        <f t="shared" si="49"/>
        <v>17.500000000000004</v>
      </c>
      <c r="K229" s="4">
        <f t="shared" si="49"/>
        <v>17.200000000000003</v>
      </c>
      <c r="L229" s="4">
        <f t="shared" si="49"/>
        <v>16.900000000000002</v>
      </c>
      <c r="M229" s="4">
        <f t="shared" si="49"/>
        <v>16.600000000000001</v>
      </c>
      <c r="N229" s="4">
        <f t="shared" si="49"/>
        <v>16.3</v>
      </c>
      <c r="O229" s="4">
        <f t="shared" si="49"/>
        <v>16</v>
      </c>
      <c r="P229" s="4">
        <f t="shared" si="49"/>
        <v>15.7</v>
      </c>
      <c r="Q229" s="4">
        <f t="shared" si="49"/>
        <v>15.399999999999999</v>
      </c>
      <c r="R229" s="4">
        <f t="shared" si="49"/>
        <v>15.099999999999998</v>
      </c>
      <c r="S229" s="4">
        <f t="shared" si="49"/>
        <v>14.799999999999997</v>
      </c>
      <c r="T229" s="4">
        <f t="shared" si="49"/>
        <v>14.499999999999996</v>
      </c>
      <c r="U229" s="4">
        <f t="shared" si="49"/>
        <v>14.199999999999996</v>
      </c>
      <c r="V229" s="4">
        <f t="shared" si="49"/>
        <v>13.899999999999995</v>
      </c>
      <c r="W229" s="4">
        <f t="shared" si="49"/>
        <v>13.599999999999994</v>
      </c>
      <c r="X229" s="4">
        <f t="shared" si="49"/>
        <v>13.299999999999994</v>
      </c>
      <c r="Y229" s="4">
        <f t="shared" si="49"/>
        <v>12.999999999999993</v>
      </c>
      <c r="Z229" s="4">
        <f t="shared" si="49"/>
        <v>12.699999999999992</v>
      </c>
      <c r="AA229" s="4">
        <f t="shared" si="49"/>
        <v>12.399999999999991</v>
      </c>
      <c r="AB229" s="4">
        <f t="shared" si="49"/>
        <v>12.099999999999991</v>
      </c>
      <c r="AC229" s="4">
        <f t="shared" si="49"/>
        <v>11.79999999999999</v>
      </c>
      <c r="AD229" s="4">
        <f t="shared" si="49"/>
        <v>11.499999999999989</v>
      </c>
      <c r="AE229" s="4">
        <f t="shared" si="49"/>
        <v>11.199999999999989</v>
      </c>
      <c r="AF229" s="4">
        <f t="shared" si="49"/>
        <v>10.999999999999989</v>
      </c>
      <c r="AG229" s="4">
        <f t="shared" si="49"/>
        <v>10.79999999999999</v>
      </c>
      <c r="AH229" s="4">
        <f t="shared" si="49"/>
        <v>10.599999999999991</v>
      </c>
      <c r="AI229" s="4">
        <f t="shared" si="49"/>
        <v>10.399999999999991</v>
      </c>
      <c r="AJ229" s="4">
        <f t="shared" si="49"/>
        <v>10.199999999999992</v>
      </c>
      <c r="AK229" s="4">
        <f t="shared" si="49"/>
        <v>9.9999999999999929</v>
      </c>
    </row>
    <row r="230" spans="3:37" outlineLevel="1" x14ac:dyDescent="0.25">
      <c r="C230" s="38">
        <v>20.100000000000001</v>
      </c>
      <c r="D230" s="4">
        <f t="shared" si="49"/>
        <v>19.700000000000003</v>
      </c>
      <c r="E230" s="4">
        <f t="shared" si="49"/>
        <v>19.300000000000004</v>
      </c>
      <c r="F230" s="4">
        <f t="shared" si="49"/>
        <v>18.900000000000006</v>
      </c>
      <c r="G230" s="4">
        <f t="shared" si="49"/>
        <v>18.500000000000007</v>
      </c>
      <c r="H230" s="4">
        <f t="shared" si="49"/>
        <v>18.100000000000009</v>
      </c>
      <c r="I230" s="4">
        <f t="shared" si="49"/>
        <v>17.800000000000008</v>
      </c>
      <c r="J230" s="4">
        <f t="shared" si="49"/>
        <v>17.500000000000007</v>
      </c>
      <c r="K230" s="4">
        <f t="shared" si="49"/>
        <v>17.200000000000006</v>
      </c>
      <c r="L230" s="4">
        <f t="shared" si="49"/>
        <v>16.900000000000006</v>
      </c>
      <c r="M230" s="4">
        <f t="shared" si="49"/>
        <v>16.600000000000005</v>
      </c>
      <c r="N230" s="4">
        <f t="shared" si="49"/>
        <v>16.300000000000004</v>
      </c>
      <c r="O230" s="4">
        <f t="shared" si="49"/>
        <v>16.000000000000004</v>
      </c>
      <c r="P230" s="4">
        <f t="shared" si="49"/>
        <v>15.700000000000003</v>
      </c>
      <c r="Q230" s="4">
        <f t="shared" si="49"/>
        <v>15.400000000000002</v>
      </c>
      <c r="R230" s="4">
        <f t="shared" si="49"/>
        <v>15.100000000000001</v>
      </c>
      <c r="S230" s="4">
        <f t="shared" si="49"/>
        <v>14.8</v>
      </c>
      <c r="T230" s="4">
        <f t="shared" si="49"/>
        <v>14.5</v>
      </c>
      <c r="U230" s="4">
        <f t="shared" si="49"/>
        <v>14.2</v>
      </c>
      <c r="V230" s="4">
        <f t="shared" si="49"/>
        <v>13.899999999999999</v>
      </c>
      <c r="W230" s="4">
        <f t="shared" si="49"/>
        <v>13.599999999999998</v>
      </c>
      <c r="X230" s="4">
        <f t="shared" si="49"/>
        <v>13.299999999999997</v>
      </c>
      <c r="Y230" s="4">
        <f t="shared" si="49"/>
        <v>12.999999999999996</v>
      </c>
      <c r="Z230" s="4">
        <f t="shared" si="49"/>
        <v>12.699999999999996</v>
      </c>
      <c r="AA230" s="4">
        <f t="shared" si="49"/>
        <v>12.399999999999995</v>
      </c>
      <c r="AB230" s="4">
        <f t="shared" si="49"/>
        <v>12.099999999999994</v>
      </c>
      <c r="AC230" s="4">
        <f t="shared" si="49"/>
        <v>11.799999999999994</v>
      </c>
      <c r="AD230" s="4">
        <f t="shared" si="49"/>
        <v>11.499999999999993</v>
      </c>
      <c r="AE230" s="4">
        <f t="shared" si="49"/>
        <v>11.199999999999992</v>
      </c>
      <c r="AF230" s="4">
        <f t="shared" si="49"/>
        <v>10.999999999999993</v>
      </c>
      <c r="AG230" s="4">
        <f t="shared" si="49"/>
        <v>10.799999999999994</v>
      </c>
      <c r="AH230" s="4">
        <f t="shared" si="49"/>
        <v>10.599999999999994</v>
      </c>
      <c r="AI230" s="4">
        <f t="shared" si="49"/>
        <v>10.399999999999995</v>
      </c>
      <c r="AJ230" s="4">
        <f t="shared" si="49"/>
        <v>10.199999999999996</v>
      </c>
      <c r="AK230" s="4">
        <f t="shared" si="49"/>
        <v>9.9999999999999964</v>
      </c>
    </row>
    <row r="231" spans="3:37" outlineLevel="1" x14ac:dyDescent="0.25">
      <c r="C231" s="38">
        <v>20.2</v>
      </c>
      <c r="D231" s="4">
        <f t="shared" si="49"/>
        <v>19.8</v>
      </c>
      <c r="E231" s="4">
        <f t="shared" si="49"/>
        <v>19.400000000000002</v>
      </c>
      <c r="F231" s="4">
        <f t="shared" si="49"/>
        <v>19.000000000000004</v>
      </c>
      <c r="G231" s="4">
        <f t="shared" si="49"/>
        <v>18.600000000000005</v>
      </c>
      <c r="H231" s="4">
        <f t="shared" si="49"/>
        <v>18.200000000000006</v>
      </c>
      <c r="I231" s="4">
        <f t="shared" si="49"/>
        <v>17.900000000000006</v>
      </c>
      <c r="J231" s="4">
        <f t="shared" si="49"/>
        <v>17.600000000000005</v>
      </c>
      <c r="K231" s="4">
        <f t="shared" si="49"/>
        <v>17.300000000000004</v>
      </c>
      <c r="L231" s="4">
        <f t="shared" si="49"/>
        <v>17.000000000000004</v>
      </c>
      <c r="M231" s="4">
        <f t="shared" si="49"/>
        <v>16.700000000000003</v>
      </c>
      <c r="N231" s="4">
        <f t="shared" si="49"/>
        <v>16.400000000000002</v>
      </c>
      <c r="O231" s="4">
        <f t="shared" si="49"/>
        <v>16.100000000000001</v>
      </c>
      <c r="P231" s="4">
        <f t="shared" si="49"/>
        <v>15.8</v>
      </c>
      <c r="Q231" s="4">
        <f t="shared" si="49"/>
        <v>15.5</v>
      </c>
      <c r="R231" s="4">
        <f t="shared" si="49"/>
        <v>15.2</v>
      </c>
      <c r="S231" s="4">
        <f t="shared" si="49"/>
        <v>14.899999999999999</v>
      </c>
      <c r="T231" s="4">
        <f t="shared" si="49"/>
        <v>14.599999999999998</v>
      </c>
      <c r="U231" s="4">
        <f t="shared" si="49"/>
        <v>14.299999999999997</v>
      </c>
      <c r="V231" s="4">
        <f t="shared" si="49"/>
        <v>13.999999999999996</v>
      </c>
      <c r="W231" s="4">
        <f t="shared" si="49"/>
        <v>13.699999999999996</v>
      </c>
      <c r="X231" s="4">
        <f t="shared" si="49"/>
        <v>13.399999999999995</v>
      </c>
      <c r="Y231" s="4">
        <f t="shared" si="49"/>
        <v>13.099999999999994</v>
      </c>
      <c r="Z231" s="4">
        <f t="shared" si="49"/>
        <v>12.799999999999994</v>
      </c>
      <c r="AA231" s="4">
        <f t="shared" si="49"/>
        <v>12.499999999999993</v>
      </c>
      <c r="AB231" s="4">
        <f t="shared" si="49"/>
        <v>12.199999999999992</v>
      </c>
      <c r="AC231" s="4">
        <f t="shared" si="49"/>
        <v>11.899999999999991</v>
      </c>
      <c r="AD231" s="4">
        <f t="shared" si="49"/>
        <v>11.599999999999991</v>
      </c>
      <c r="AE231" s="4">
        <f t="shared" si="49"/>
        <v>11.29999999999999</v>
      </c>
      <c r="AF231" s="4">
        <f t="shared" si="49"/>
        <v>11.099999999999991</v>
      </c>
      <c r="AG231" s="4">
        <f t="shared" si="49"/>
        <v>10.899999999999991</v>
      </c>
      <c r="AH231" s="4">
        <f t="shared" si="49"/>
        <v>10.699999999999992</v>
      </c>
      <c r="AI231" s="4">
        <f t="shared" si="49"/>
        <v>10.499999999999993</v>
      </c>
      <c r="AJ231" s="4">
        <f t="shared" si="49"/>
        <v>10.299999999999994</v>
      </c>
      <c r="AK231" s="4">
        <f t="shared" si="49"/>
        <v>10.099999999999994</v>
      </c>
    </row>
    <row r="232" spans="3:37" outlineLevel="1" x14ac:dyDescent="0.25">
      <c r="C232" s="38">
        <v>20.3</v>
      </c>
      <c r="D232" s="4">
        <f t="shared" si="49"/>
        <v>19.900000000000002</v>
      </c>
      <c r="E232" s="4">
        <f t="shared" si="49"/>
        <v>19.500000000000004</v>
      </c>
      <c r="F232" s="4">
        <f t="shared" si="49"/>
        <v>19.100000000000005</v>
      </c>
      <c r="G232" s="4">
        <f t="shared" si="49"/>
        <v>18.700000000000006</v>
      </c>
      <c r="H232" s="4">
        <f t="shared" si="49"/>
        <v>18.300000000000008</v>
      </c>
      <c r="I232" s="4">
        <f t="shared" si="49"/>
        <v>18.000000000000007</v>
      </c>
      <c r="J232" s="4">
        <f t="shared" si="49"/>
        <v>17.700000000000006</v>
      </c>
      <c r="K232" s="4">
        <f t="shared" si="49"/>
        <v>17.400000000000006</v>
      </c>
      <c r="L232" s="4">
        <f t="shared" si="49"/>
        <v>17.100000000000005</v>
      </c>
      <c r="M232" s="4">
        <f t="shared" si="49"/>
        <v>16.800000000000004</v>
      </c>
      <c r="N232" s="4">
        <f t="shared" si="49"/>
        <v>16.500000000000004</v>
      </c>
      <c r="O232" s="4">
        <f t="shared" si="49"/>
        <v>16.200000000000003</v>
      </c>
      <c r="P232" s="4">
        <f t="shared" si="49"/>
        <v>15.900000000000002</v>
      </c>
      <c r="Q232" s="4">
        <f t="shared" si="49"/>
        <v>15.600000000000001</v>
      </c>
      <c r="R232" s="4">
        <f t="shared" si="49"/>
        <v>15.3</v>
      </c>
      <c r="S232" s="4">
        <f t="shared" si="49"/>
        <v>15</v>
      </c>
      <c r="T232" s="4">
        <f t="shared" si="49"/>
        <v>14.7</v>
      </c>
      <c r="U232" s="4">
        <f t="shared" ref="U232:AK232" si="50">(IF(T232&lt;=4.4,T232-$E$6,IF(AND(T232&gt;=4.5,T232&lt;=11.4),T232-$E$7,IF(AND(T232&gt;=11.5,T232&lt;=18.4),T232-$E$8,IF(AND(T232&gt;=18.5,T232&lt;=26.4),T232-$E$9,IF(AND(T232&gt;=26.4,T232&lt;=36),T232-$E$10,IF(T232&gt;=37,T232-$E$11)))))))</f>
        <v>14.399999999999999</v>
      </c>
      <c r="V232" s="4">
        <f t="shared" si="50"/>
        <v>14.099999999999998</v>
      </c>
      <c r="W232" s="4">
        <f t="shared" si="50"/>
        <v>13.799999999999997</v>
      </c>
      <c r="X232" s="4">
        <f t="shared" si="50"/>
        <v>13.499999999999996</v>
      </c>
      <c r="Y232" s="4">
        <f t="shared" si="50"/>
        <v>13.199999999999996</v>
      </c>
      <c r="Z232" s="4">
        <f t="shared" si="50"/>
        <v>12.899999999999995</v>
      </c>
      <c r="AA232" s="4">
        <f t="shared" si="50"/>
        <v>12.599999999999994</v>
      </c>
      <c r="AB232" s="4">
        <f t="shared" si="50"/>
        <v>12.299999999999994</v>
      </c>
      <c r="AC232" s="4">
        <f t="shared" si="50"/>
        <v>11.999999999999993</v>
      </c>
      <c r="AD232" s="4">
        <f t="shared" si="50"/>
        <v>11.699999999999992</v>
      </c>
      <c r="AE232" s="4">
        <f t="shared" si="50"/>
        <v>11.399999999999991</v>
      </c>
      <c r="AF232" s="4">
        <f t="shared" si="50"/>
        <v>11.199999999999992</v>
      </c>
      <c r="AG232" s="4">
        <f t="shared" si="50"/>
        <v>10.999999999999993</v>
      </c>
      <c r="AH232" s="4">
        <f t="shared" si="50"/>
        <v>10.799999999999994</v>
      </c>
      <c r="AI232" s="4">
        <f t="shared" si="50"/>
        <v>10.599999999999994</v>
      </c>
      <c r="AJ232" s="4">
        <f t="shared" si="50"/>
        <v>10.399999999999995</v>
      </c>
      <c r="AK232" s="4">
        <f t="shared" si="50"/>
        <v>10.199999999999996</v>
      </c>
    </row>
    <row r="233" spans="3:37" outlineLevel="1" x14ac:dyDescent="0.25">
      <c r="C233" s="38">
        <v>20.399999999999999</v>
      </c>
      <c r="D233" s="4">
        <f t="shared" ref="D233:AK240" si="51">(IF(C233&lt;=4.4,C233-$E$6,IF(AND(C233&gt;=4.5,C233&lt;=11.4),C233-$E$7,IF(AND(C233&gt;=11.5,C233&lt;=18.4),C233-$E$8,IF(AND(C233&gt;=18.5,C233&lt;=26.4),C233-$E$9,IF(AND(C233&gt;=26.4,C233&lt;=36),C233-$E$10,IF(C233&gt;=37,C233-$E$11)))))))</f>
        <v>20</v>
      </c>
      <c r="E233" s="4">
        <f t="shared" si="51"/>
        <v>19.600000000000001</v>
      </c>
      <c r="F233" s="4">
        <f t="shared" si="51"/>
        <v>19.200000000000003</v>
      </c>
      <c r="G233" s="4">
        <f t="shared" si="51"/>
        <v>18.800000000000004</v>
      </c>
      <c r="H233" s="4">
        <f t="shared" si="51"/>
        <v>18.400000000000006</v>
      </c>
      <c r="I233" s="4">
        <f t="shared" si="51"/>
        <v>18.100000000000005</v>
      </c>
      <c r="J233" s="4">
        <f t="shared" si="51"/>
        <v>17.800000000000004</v>
      </c>
      <c r="K233" s="4">
        <f t="shared" si="51"/>
        <v>17.500000000000004</v>
      </c>
      <c r="L233" s="4">
        <f t="shared" si="51"/>
        <v>17.200000000000003</v>
      </c>
      <c r="M233" s="4">
        <f t="shared" si="51"/>
        <v>16.900000000000002</v>
      </c>
      <c r="N233" s="4">
        <f t="shared" si="51"/>
        <v>16.600000000000001</v>
      </c>
      <c r="O233" s="4">
        <f t="shared" si="51"/>
        <v>16.3</v>
      </c>
      <c r="P233" s="4">
        <f t="shared" si="51"/>
        <v>16</v>
      </c>
      <c r="Q233" s="4">
        <f t="shared" si="51"/>
        <v>15.7</v>
      </c>
      <c r="R233" s="4">
        <f t="shared" si="51"/>
        <v>15.399999999999999</v>
      </c>
      <c r="S233" s="4">
        <f t="shared" si="51"/>
        <v>15.099999999999998</v>
      </c>
      <c r="T233" s="4">
        <f t="shared" si="51"/>
        <v>14.799999999999997</v>
      </c>
      <c r="U233" s="4">
        <f t="shared" si="51"/>
        <v>14.499999999999996</v>
      </c>
      <c r="V233" s="4">
        <f t="shared" si="51"/>
        <v>14.199999999999996</v>
      </c>
      <c r="W233" s="4">
        <f t="shared" si="51"/>
        <v>13.899999999999995</v>
      </c>
      <c r="X233" s="4">
        <f t="shared" si="51"/>
        <v>13.599999999999994</v>
      </c>
      <c r="Y233" s="4">
        <f t="shared" si="51"/>
        <v>13.299999999999994</v>
      </c>
      <c r="Z233" s="4">
        <f t="shared" si="51"/>
        <v>12.999999999999993</v>
      </c>
      <c r="AA233" s="4">
        <f t="shared" si="51"/>
        <v>12.699999999999992</v>
      </c>
      <c r="AB233" s="4">
        <f t="shared" si="51"/>
        <v>12.399999999999991</v>
      </c>
      <c r="AC233" s="4">
        <f t="shared" si="51"/>
        <v>12.099999999999991</v>
      </c>
      <c r="AD233" s="4">
        <f t="shared" si="51"/>
        <v>11.79999999999999</v>
      </c>
      <c r="AE233" s="4">
        <f t="shared" si="51"/>
        <v>11.499999999999989</v>
      </c>
      <c r="AF233" s="4">
        <f t="shared" si="51"/>
        <v>11.199999999999989</v>
      </c>
      <c r="AG233" s="4">
        <f t="shared" si="51"/>
        <v>10.999999999999989</v>
      </c>
      <c r="AH233" s="4">
        <f t="shared" si="51"/>
        <v>10.79999999999999</v>
      </c>
      <c r="AI233" s="4">
        <f t="shared" si="51"/>
        <v>10.599999999999991</v>
      </c>
      <c r="AJ233" s="4">
        <f t="shared" si="51"/>
        <v>10.399999999999991</v>
      </c>
      <c r="AK233" s="4">
        <f t="shared" si="51"/>
        <v>10.199999999999992</v>
      </c>
    </row>
    <row r="234" spans="3:37" outlineLevel="1" x14ac:dyDescent="0.25">
      <c r="C234" s="38">
        <v>20.5</v>
      </c>
      <c r="D234" s="4">
        <f t="shared" si="51"/>
        <v>20.100000000000001</v>
      </c>
      <c r="E234" s="4">
        <f t="shared" si="51"/>
        <v>19.700000000000003</v>
      </c>
      <c r="F234" s="4">
        <f t="shared" si="51"/>
        <v>19.300000000000004</v>
      </c>
      <c r="G234" s="4">
        <f t="shared" si="51"/>
        <v>18.900000000000006</v>
      </c>
      <c r="H234" s="4">
        <f t="shared" si="51"/>
        <v>18.500000000000007</v>
      </c>
      <c r="I234" s="4">
        <f t="shared" si="51"/>
        <v>18.100000000000009</v>
      </c>
      <c r="J234" s="4">
        <f t="shared" si="51"/>
        <v>17.800000000000008</v>
      </c>
      <c r="K234" s="4">
        <f t="shared" si="51"/>
        <v>17.500000000000007</v>
      </c>
      <c r="L234" s="4">
        <f t="shared" si="51"/>
        <v>17.200000000000006</v>
      </c>
      <c r="M234" s="4">
        <f t="shared" si="51"/>
        <v>16.900000000000006</v>
      </c>
      <c r="N234" s="4">
        <f t="shared" si="51"/>
        <v>16.600000000000005</v>
      </c>
      <c r="O234" s="4">
        <f t="shared" si="51"/>
        <v>16.300000000000004</v>
      </c>
      <c r="P234" s="4">
        <f t="shared" si="51"/>
        <v>16.000000000000004</v>
      </c>
      <c r="Q234" s="4">
        <f t="shared" si="51"/>
        <v>15.700000000000003</v>
      </c>
      <c r="R234" s="4">
        <f t="shared" si="51"/>
        <v>15.400000000000002</v>
      </c>
      <c r="S234" s="4">
        <f t="shared" si="51"/>
        <v>15.100000000000001</v>
      </c>
      <c r="T234" s="4">
        <f t="shared" si="51"/>
        <v>14.8</v>
      </c>
      <c r="U234" s="4">
        <f t="shared" si="51"/>
        <v>14.5</v>
      </c>
      <c r="V234" s="4">
        <f t="shared" si="51"/>
        <v>14.2</v>
      </c>
      <c r="W234" s="4">
        <f t="shared" si="51"/>
        <v>13.899999999999999</v>
      </c>
      <c r="X234" s="4">
        <f t="shared" si="51"/>
        <v>13.599999999999998</v>
      </c>
      <c r="Y234" s="4">
        <f t="shared" si="51"/>
        <v>13.299999999999997</v>
      </c>
      <c r="Z234" s="4">
        <f t="shared" si="51"/>
        <v>12.999999999999996</v>
      </c>
      <c r="AA234" s="4">
        <f t="shared" si="51"/>
        <v>12.699999999999996</v>
      </c>
      <c r="AB234" s="4">
        <f t="shared" si="51"/>
        <v>12.399999999999995</v>
      </c>
      <c r="AC234" s="4">
        <f t="shared" si="51"/>
        <v>12.099999999999994</v>
      </c>
      <c r="AD234" s="4">
        <f t="shared" si="51"/>
        <v>11.799999999999994</v>
      </c>
      <c r="AE234" s="4">
        <f t="shared" si="51"/>
        <v>11.499999999999993</v>
      </c>
      <c r="AF234" s="4">
        <f t="shared" si="51"/>
        <v>11.199999999999992</v>
      </c>
      <c r="AG234" s="4">
        <f t="shared" si="51"/>
        <v>10.999999999999993</v>
      </c>
      <c r="AH234" s="4">
        <f t="shared" si="51"/>
        <v>10.799999999999994</v>
      </c>
      <c r="AI234" s="4">
        <f t="shared" si="51"/>
        <v>10.599999999999994</v>
      </c>
      <c r="AJ234" s="4">
        <f t="shared" si="51"/>
        <v>10.399999999999995</v>
      </c>
      <c r="AK234" s="4">
        <f t="shared" si="51"/>
        <v>10.199999999999996</v>
      </c>
    </row>
    <row r="235" spans="3:37" outlineLevel="1" x14ac:dyDescent="0.25">
      <c r="C235" s="38">
        <v>20.6</v>
      </c>
      <c r="D235" s="4">
        <f t="shared" si="51"/>
        <v>20.200000000000003</v>
      </c>
      <c r="E235" s="4">
        <f t="shared" si="51"/>
        <v>19.800000000000004</v>
      </c>
      <c r="F235" s="4">
        <f t="shared" si="51"/>
        <v>19.400000000000006</v>
      </c>
      <c r="G235" s="4">
        <f t="shared" si="51"/>
        <v>19.000000000000007</v>
      </c>
      <c r="H235" s="4">
        <f t="shared" si="51"/>
        <v>18.600000000000009</v>
      </c>
      <c r="I235" s="4">
        <f t="shared" si="51"/>
        <v>18.20000000000001</v>
      </c>
      <c r="J235" s="4">
        <f t="shared" si="51"/>
        <v>17.900000000000009</v>
      </c>
      <c r="K235" s="4">
        <f t="shared" si="51"/>
        <v>17.600000000000009</v>
      </c>
      <c r="L235" s="4">
        <f t="shared" si="51"/>
        <v>17.300000000000008</v>
      </c>
      <c r="M235" s="4">
        <f t="shared" si="51"/>
        <v>17.000000000000007</v>
      </c>
      <c r="N235" s="4">
        <f t="shared" si="51"/>
        <v>16.700000000000006</v>
      </c>
      <c r="O235" s="4">
        <f t="shared" si="51"/>
        <v>16.400000000000006</v>
      </c>
      <c r="P235" s="4">
        <f t="shared" si="51"/>
        <v>16.100000000000005</v>
      </c>
      <c r="Q235" s="4">
        <f t="shared" si="51"/>
        <v>15.800000000000004</v>
      </c>
      <c r="R235" s="4">
        <f t="shared" si="51"/>
        <v>15.500000000000004</v>
      </c>
      <c r="S235" s="4">
        <f t="shared" si="51"/>
        <v>15.200000000000003</v>
      </c>
      <c r="T235" s="4">
        <f t="shared" si="51"/>
        <v>14.900000000000002</v>
      </c>
      <c r="U235" s="4">
        <f t="shared" si="51"/>
        <v>14.600000000000001</v>
      </c>
      <c r="V235" s="4">
        <f t="shared" si="51"/>
        <v>14.3</v>
      </c>
      <c r="W235" s="4">
        <f t="shared" si="51"/>
        <v>14</v>
      </c>
      <c r="X235" s="4">
        <f t="shared" si="51"/>
        <v>13.7</v>
      </c>
      <c r="Y235" s="4">
        <f t="shared" si="51"/>
        <v>13.399999999999999</v>
      </c>
      <c r="Z235" s="4">
        <f t="shared" si="51"/>
        <v>13.099999999999998</v>
      </c>
      <c r="AA235" s="4">
        <f t="shared" si="51"/>
        <v>12.799999999999997</v>
      </c>
      <c r="AB235" s="4">
        <f t="shared" si="51"/>
        <v>12.499999999999996</v>
      </c>
      <c r="AC235" s="4">
        <f t="shared" si="51"/>
        <v>12.199999999999996</v>
      </c>
      <c r="AD235" s="4">
        <f t="shared" si="51"/>
        <v>11.899999999999995</v>
      </c>
      <c r="AE235" s="4">
        <f t="shared" si="51"/>
        <v>11.599999999999994</v>
      </c>
      <c r="AF235" s="4">
        <f t="shared" si="51"/>
        <v>11.299999999999994</v>
      </c>
      <c r="AG235" s="4">
        <f t="shared" si="51"/>
        <v>11.099999999999994</v>
      </c>
      <c r="AH235" s="4">
        <f t="shared" si="51"/>
        <v>10.899999999999995</v>
      </c>
      <c r="AI235" s="4">
        <f t="shared" si="51"/>
        <v>10.699999999999996</v>
      </c>
      <c r="AJ235" s="4">
        <f t="shared" si="51"/>
        <v>10.499999999999996</v>
      </c>
      <c r="AK235" s="4">
        <f t="shared" si="51"/>
        <v>10.299999999999997</v>
      </c>
    </row>
    <row r="236" spans="3:37" outlineLevel="1" x14ac:dyDescent="0.25">
      <c r="C236" s="38">
        <v>20.7</v>
      </c>
      <c r="D236" s="4">
        <f t="shared" si="51"/>
        <v>20.3</v>
      </c>
      <c r="E236" s="4">
        <f t="shared" si="51"/>
        <v>19.900000000000002</v>
      </c>
      <c r="F236" s="4">
        <f t="shared" si="51"/>
        <v>19.500000000000004</v>
      </c>
      <c r="G236" s="4">
        <f t="shared" si="51"/>
        <v>19.100000000000005</v>
      </c>
      <c r="H236" s="4">
        <f t="shared" si="51"/>
        <v>18.700000000000006</v>
      </c>
      <c r="I236" s="4">
        <f t="shared" si="51"/>
        <v>18.300000000000008</v>
      </c>
      <c r="J236" s="4">
        <f t="shared" si="51"/>
        <v>18.000000000000007</v>
      </c>
      <c r="K236" s="4">
        <f t="shared" si="51"/>
        <v>17.700000000000006</v>
      </c>
      <c r="L236" s="4">
        <f t="shared" si="51"/>
        <v>17.400000000000006</v>
      </c>
      <c r="M236" s="4">
        <f t="shared" si="51"/>
        <v>17.100000000000005</v>
      </c>
      <c r="N236" s="4">
        <f t="shared" si="51"/>
        <v>16.800000000000004</v>
      </c>
      <c r="O236" s="4">
        <f t="shared" si="51"/>
        <v>16.500000000000004</v>
      </c>
      <c r="P236" s="4">
        <f t="shared" si="51"/>
        <v>16.200000000000003</v>
      </c>
      <c r="Q236" s="4">
        <f t="shared" si="51"/>
        <v>15.900000000000002</v>
      </c>
      <c r="R236" s="4">
        <f t="shared" si="51"/>
        <v>15.600000000000001</v>
      </c>
      <c r="S236" s="4">
        <f t="shared" si="51"/>
        <v>15.3</v>
      </c>
      <c r="T236" s="4">
        <f t="shared" si="51"/>
        <v>15</v>
      </c>
      <c r="U236" s="4">
        <f t="shared" si="51"/>
        <v>14.7</v>
      </c>
      <c r="V236" s="4">
        <f t="shared" si="51"/>
        <v>14.399999999999999</v>
      </c>
      <c r="W236" s="4">
        <f t="shared" si="51"/>
        <v>14.099999999999998</v>
      </c>
      <c r="X236" s="4">
        <f t="shared" si="51"/>
        <v>13.799999999999997</v>
      </c>
      <c r="Y236" s="4">
        <f t="shared" si="51"/>
        <v>13.499999999999996</v>
      </c>
      <c r="Z236" s="4">
        <f t="shared" si="51"/>
        <v>13.199999999999996</v>
      </c>
      <c r="AA236" s="4">
        <f t="shared" si="51"/>
        <v>12.899999999999995</v>
      </c>
      <c r="AB236" s="4">
        <f t="shared" si="51"/>
        <v>12.599999999999994</v>
      </c>
      <c r="AC236" s="4">
        <f t="shared" si="51"/>
        <v>12.299999999999994</v>
      </c>
      <c r="AD236" s="4">
        <f t="shared" si="51"/>
        <v>11.999999999999993</v>
      </c>
      <c r="AE236" s="4">
        <f t="shared" si="51"/>
        <v>11.699999999999992</v>
      </c>
      <c r="AF236" s="4">
        <f t="shared" si="51"/>
        <v>11.399999999999991</v>
      </c>
      <c r="AG236" s="4">
        <f t="shared" si="51"/>
        <v>11.199999999999992</v>
      </c>
      <c r="AH236" s="4">
        <f t="shared" si="51"/>
        <v>10.999999999999993</v>
      </c>
      <c r="AI236" s="4">
        <f t="shared" si="51"/>
        <v>10.799999999999994</v>
      </c>
      <c r="AJ236" s="4">
        <f t="shared" si="51"/>
        <v>10.599999999999994</v>
      </c>
      <c r="AK236" s="4">
        <f t="shared" si="51"/>
        <v>10.399999999999995</v>
      </c>
    </row>
    <row r="237" spans="3:37" outlineLevel="1" x14ac:dyDescent="0.25">
      <c r="C237" s="38">
        <v>20.8</v>
      </c>
      <c r="D237" s="4">
        <f t="shared" si="51"/>
        <v>20.400000000000002</v>
      </c>
      <c r="E237" s="4">
        <f t="shared" si="51"/>
        <v>20.000000000000004</v>
      </c>
      <c r="F237" s="4">
        <f t="shared" si="51"/>
        <v>19.600000000000005</v>
      </c>
      <c r="G237" s="4">
        <f t="shared" si="51"/>
        <v>19.200000000000006</v>
      </c>
      <c r="H237" s="4">
        <f t="shared" si="51"/>
        <v>18.800000000000008</v>
      </c>
      <c r="I237" s="4">
        <f t="shared" si="51"/>
        <v>18.400000000000009</v>
      </c>
      <c r="J237" s="4">
        <f t="shared" si="51"/>
        <v>18.100000000000009</v>
      </c>
      <c r="K237" s="4">
        <f t="shared" si="51"/>
        <v>17.800000000000008</v>
      </c>
      <c r="L237" s="4">
        <f t="shared" si="51"/>
        <v>17.500000000000007</v>
      </c>
      <c r="M237" s="4">
        <f t="shared" si="51"/>
        <v>17.200000000000006</v>
      </c>
      <c r="N237" s="4">
        <f t="shared" si="51"/>
        <v>16.900000000000006</v>
      </c>
      <c r="O237" s="4">
        <f t="shared" si="51"/>
        <v>16.600000000000005</v>
      </c>
      <c r="P237" s="4">
        <f t="shared" si="51"/>
        <v>16.300000000000004</v>
      </c>
      <c r="Q237" s="4">
        <f t="shared" si="51"/>
        <v>16.000000000000004</v>
      </c>
      <c r="R237" s="4">
        <f t="shared" si="51"/>
        <v>15.700000000000003</v>
      </c>
      <c r="S237" s="4">
        <f t="shared" si="51"/>
        <v>15.400000000000002</v>
      </c>
      <c r="T237" s="4">
        <f t="shared" si="51"/>
        <v>15.100000000000001</v>
      </c>
      <c r="U237" s="4">
        <f t="shared" si="51"/>
        <v>14.8</v>
      </c>
      <c r="V237" s="4">
        <f t="shared" si="51"/>
        <v>14.5</v>
      </c>
      <c r="W237" s="4">
        <f t="shared" si="51"/>
        <v>14.2</v>
      </c>
      <c r="X237" s="4">
        <f t="shared" si="51"/>
        <v>13.899999999999999</v>
      </c>
      <c r="Y237" s="4">
        <f t="shared" si="51"/>
        <v>13.599999999999998</v>
      </c>
      <c r="Z237" s="4">
        <f t="shared" si="51"/>
        <v>13.299999999999997</v>
      </c>
      <c r="AA237" s="4">
        <f t="shared" si="51"/>
        <v>12.999999999999996</v>
      </c>
      <c r="AB237" s="4">
        <f t="shared" si="51"/>
        <v>12.699999999999996</v>
      </c>
      <c r="AC237" s="4">
        <f t="shared" si="51"/>
        <v>12.399999999999995</v>
      </c>
      <c r="AD237" s="4">
        <f t="shared" si="51"/>
        <v>12.099999999999994</v>
      </c>
      <c r="AE237" s="4">
        <f t="shared" si="51"/>
        <v>11.799999999999994</v>
      </c>
      <c r="AF237" s="4">
        <f t="shared" si="51"/>
        <v>11.499999999999993</v>
      </c>
      <c r="AG237" s="4">
        <f t="shared" si="51"/>
        <v>11.199999999999992</v>
      </c>
      <c r="AH237" s="4">
        <f t="shared" si="51"/>
        <v>10.999999999999993</v>
      </c>
      <c r="AI237" s="4">
        <f t="shared" si="51"/>
        <v>10.799999999999994</v>
      </c>
      <c r="AJ237" s="4">
        <f t="shared" si="51"/>
        <v>10.599999999999994</v>
      </c>
      <c r="AK237" s="4">
        <f t="shared" si="51"/>
        <v>10.399999999999995</v>
      </c>
    </row>
    <row r="238" spans="3:37" outlineLevel="1" x14ac:dyDescent="0.25">
      <c r="C238" s="38">
        <v>20.9</v>
      </c>
      <c r="D238" s="4">
        <f t="shared" si="51"/>
        <v>20.5</v>
      </c>
      <c r="E238" s="4">
        <f t="shared" si="51"/>
        <v>20.100000000000001</v>
      </c>
      <c r="F238" s="4">
        <f t="shared" si="51"/>
        <v>19.700000000000003</v>
      </c>
      <c r="G238" s="4">
        <f t="shared" si="51"/>
        <v>19.300000000000004</v>
      </c>
      <c r="H238" s="4">
        <f t="shared" si="51"/>
        <v>18.900000000000006</v>
      </c>
      <c r="I238" s="4">
        <f t="shared" si="51"/>
        <v>18.500000000000007</v>
      </c>
      <c r="J238" s="4">
        <f t="shared" si="51"/>
        <v>18.100000000000009</v>
      </c>
      <c r="K238" s="4">
        <f t="shared" si="51"/>
        <v>17.800000000000008</v>
      </c>
      <c r="L238" s="4">
        <f t="shared" si="51"/>
        <v>17.500000000000007</v>
      </c>
      <c r="M238" s="4">
        <f t="shared" si="51"/>
        <v>17.200000000000006</v>
      </c>
      <c r="N238" s="4">
        <f t="shared" si="51"/>
        <v>16.900000000000006</v>
      </c>
      <c r="O238" s="4">
        <f t="shared" si="51"/>
        <v>16.600000000000005</v>
      </c>
      <c r="P238" s="4">
        <f t="shared" si="51"/>
        <v>16.300000000000004</v>
      </c>
      <c r="Q238" s="4">
        <f t="shared" si="51"/>
        <v>16.000000000000004</v>
      </c>
      <c r="R238" s="4">
        <f t="shared" si="51"/>
        <v>15.700000000000003</v>
      </c>
      <c r="S238" s="4">
        <f t="shared" si="51"/>
        <v>15.400000000000002</v>
      </c>
      <c r="T238" s="4">
        <f t="shared" si="51"/>
        <v>15.100000000000001</v>
      </c>
      <c r="U238" s="4">
        <f t="shared" si="51"/>
        <v>14.8</v>
      </c>
      <c r="V238" s="4">
        <f t="shared" si="51"/>
        <v>14.5</v>
      </c>
      <c r="W238" s="4">
        <f t="shared" si="51"/>
        <v>14.2</v>
      </c>
      <c r="X238" s="4">
        <f t="shared" si="51"/>
        <v>13.899999999999999</v>
      </c>
      <c r="Y238" s="4">
        <f t="shared" si="51"/>
        <v>13.599999999999998</v>
      </c>
      <c r="Z238" s="4">
        <f t="shared" si="51"/>
        <v>13.299999999999997</v>
      </c>
      <c r="AA238" s="4">
        <f t="shared" si="51"/>
        <v>12.999999999999996</v>
      </c>
      <c r="AB238" s="4">
        <f t="shared" si="51"/>
        <v>12.699999999999996</v>
      </c>
      <c r="AC238" s="4">
        <f t="shared" si="51"/>
        <v>12.399999999999995</v>
      </c>
      <c r="AD238" s="4">
        <f t="shared" si="51"/>
        <v>12.099999999999994</v>
      </c>
      <c r="AE238" s="4">
        <f t="shared" si="51"/>
        <v>11.799999999999994</v>
      </c>
      <c r="AF238" s="4">
        <f t="shared" si="51"/>
        <v>11.499999999999993</v>
      </c>
      <c r="AG238" s="4">
        <f t="shared" si="51"/>
        <v>11.199999999999992</v>
      </c>
      <c r="AH238" s="4">
        <f t="shared" si="51"/>
        <v>10.999999999999993</v>
      </c>
      <c r="AI238" s="4">
        <f t="shared" si="51"/>
        <v>10.799999999999994</v>
      </c>
      <c r="AJ238" s="4">
        <f t="shared" si="51"/>
        <v>10.599999999999994</v>
      </c>
      <c r="AK238" s="4">
        <f t="shared" si="51"/>
        <v>10.399999999999995</v>
      </c>
    </row>
    <row r="239" spans="3:37" outlineLevel="1" x14ac:dyDescent="0.25">
      <c r="C239" s="38">
        <v>21</v>
      </c>
      <c r="D239" s="4">
        <f t="shared" si="51"/>
        <v>20.6</v>
      </c>
      <c r="E239" s="4">
        <f t="shared" si="51"/>
        <v>20.200000000000003</v>
      </c>
      <c r="F239" s="4">
        <f t="shared" si="51"/>
        <v>19.800000000000004</v>
      </c>
      <c r="G239" s="4">
        <f t="shared" si="51"/>
        <v>19.400000000000006</v>
      </c>
      <c r="H239" s="4">
        <f t="shared" si="51"/>
        <v>19.000000000000007</v>
      </c>
      <c r="I239" s="4">
        <f t="shared" si="51"/>
        <v>18.600000000000009</v>
      </c>
      <c r="J239" s="4">
        <f t="shared" si="51"/>
        <v>18.20000000000001</v>
      </c>
      <c r="K239" s="4">
        <f t="shared" si="51"/>
        <v>17.900000000000009</v>
      </c>
      <c r="L239" s="4">
        <f t="shared" si="51"/>
        <v>17.600000000000009</v>
      </c>
      <c r="M239" s="4">
        <f t="shared" si="51"/>
        <v>17.300000000000008</v>
      </c>
      <c r="N239" s="4">
        <f t="shared" si="51"/>
        <v>17.000000000000007</v>
      </c>
      <c r="O239" s="4">
        <f t="shared" si="51"/>
        <v>16.700000000000006</v>
      </c>
      <c r="P239" s="4">
        <f t="shared" si="51"/>
        <v>16.400000000000006</v>
      </c>
      <c r="Q239" s="4">
        <f t="shared" si="51"/>
        <v>16.100000000000005</v>
      </c>
      <c r="R239" s="4">
        <f t="shared" si="51"/>
        <v>15.800000000000004</v>
      </c>
      <c r="S239" s="4">
        <f t="shared" si="51"/>
        <v>15.500000000000004</v>
      </c>
      <c r="T239" s="4">
        <f t="shared" si="51"/>
        <v>15.200000000000003</v>
      </c>
      <c r="U239" s="4">
        <f t="shared" si="51"/>
        <v>14.900000000000002</v>
      </c>
      <c r="V239" s="4">
        <f t="shared" si="51"/>
        <v>14.600000000000001</v>
      </c>
      <c r="W239" s="4">
        <f t="shared" si="51"/>
        <v>14.3</v>
      </c>
      <c r="X239" s="4">
        <f t="shared" si="51"/>
        <v>14</v>
      </c>
      <c r="Y239" s="4">
        <f t="shared" si="51"/>
        <v>13.7</v>
      </c>
      <c r="Z239" s="4">
        <f t="shared" si="51"/>
        <v>13.399999999999999</v>
      </c>
      <c r="AA239" s="4">
        <f t="shared" si="51"/>
        <v>13.099999999999998</v>
      </c>
      <c r="AB239" s="4">
        <f t="shared" si="51"/>
        <v>12.799999999999997</v>
      </c>
      <c r="AC239" s="4">
        <f t="shared" si="51"/>
        <v>12.499999999999996</v>
      </c>
      <c r="AD239" s="4">
        <f t="shared" si="51"/>
        <v>12.199999999999996</v>
      </c>
      <c r="AE239" s="4">
        <f t="shared" si="51"/>
        <v>11.899999999999995</v>
      </c>
      <c r="AF239" s="4">
        <f t="shared" si="51"/>
        <v>11.599999999999994</v>
      </c>
      <c r="AG239" s="4">
        <f t="shared" si="51"/>
        <v>11.299999999999994</v>
      </c>
      <c r="AH239" s="4">
        <f t="shared" si="51"/>
        <v>11.099999999999994</v>
      </c>
      <c r="AI239" s="4">
        <f t="shared" si="51"/>
        <v>10.899999999999995</v>
      </c>
      <c r="AJ239" s="4">
        <f t="shared" si="51"/>
        <v>10.699999999999996</v>
      </c>
      <c r="AK239" s="4">
        <f t="shared" si="51"/>
        <v>10.499999999999996</v>
      </c>
    </row>
    <row r="240" spans="3:37" outlineLevel="1" x14ac:dyDescent="0.25">
      <c r="C240" s="38">
        <v>21.1</v>
      </c>
      <c r="D240" s="4">
        <f t="shared" si="51"/>
        <v>20.700000000000003</v>
      </c>
      <c r="E240" s="4">
        <f t="shared" si="51"/>
        <v>20.300000000000004</v>
      </c>
      <c r="F240" s="4">
        <f t="shared" si="51"/>
        <v>19.900000000000006</v>
      </c>
      <c r="G240" s="4">
        <f t="shared" si="51"/>
        <v>19.500000000000007</v>
      </c>
      <c r="H240" s="4">
        <f t="shared" si="51"/>
        <v>19.100000000000009</v>
      </c>
      <c r="I240" s="4">
        <f t="shared" si="51"/>
        <v>18.70000000000001</v>
      </c>
      <c r="J240" s="4">
        <f t="shared" si="51"/>
        <v>18.300000000000011</v>
      </c>
      <c r="K240" s="4">
        <f t="shared" si="51"/>
        <v>18.000000000000011</v>
      </c>
      <c r="L240" s="4">
        <f t="shared" si="51"/>
        <v>17.70000000000001</v>
      </c>
      <c r="M240" s="4">
        <f t="shared" si="51"/>
        <v>17.400000000000009</v>
      </c>
      <c r="N240" s="4">
        <f t="shared" si="51"/>
        <v>17.100000000000009</v>
      </c>
      <c r="O240" s="4">
        <f t="shared" si="51"/>
        <v>16.800000000000008</v>
      </c>
      <c r="P240" s="4">
        <f t="shared" si="51"/>
        <v>16.500000000000007</v>
      </c>
      <c r="Q240" s="4">
        <f t="shared" si="51"/>
        <v>16.200000000000006</v>
      </c>
      <c r="R240" s="4">
        <f t="shared" si="51"/>
        <v>15.900000000000006</v>
      </c>
      <c r="S240" s="4">
        <f t="shared" si="51"/>
        <v>15.600000000000005</v>
      </c>
      <c r="T240" s="4">
        <f t="shared" si="51"/>
        <v>15.300000000000004</v>
      </c>
      <c r="U240" s="4">
        <f t="shared" ref="U240:AK240" si="52">(IF(T240&lt;=4.4,T240-$E$6,IF(AND(T240&gt;=4.5,T240&lt;=11.4),T240-$E$7,IF(AND(T240&gt;=11.5,T240&lt;=18.4),T240-$E$8,IF(AND(T240&gt;=18.5,T240&lt;=26.4),T240-$E$9,IF(AND(T240&gt;=26.4,T240&lt;=36),T240-$E$10,IF(T240&gt;=37,T240-$E$11)))))))</f>
        <v>15.000000000000004</v>
      </c>
      <c r="V240" s="4">
        <f t="shared" si="52"/>
        <v>14.700000000000003</v>
      </c>
      <c r="W240" s="4">
        <f t="shared" si="52"/>
        <v>14.400000000000002</v>
      </c>
      <c r="X240" s="4">
        <f t="shared" si="52"/>
        <v>14.100000000000001</v>
      </c>
      <c r="Y240" s="4">
        <f t="shared" si="52"/>
        <v>13.8</v>
      </c>
      <c r="Z240" s="4">
        <f t="shared" si="52"/>
        <v>13.5</v>
      </c>
      <c r="AA240" s="4">
        <f t="shared" si="52"/>
        <v>13.2</v>
      </c>
      <c r="AB240" s="4">
        <f t="shared" si="52"/>
        <v>12.899999999999999</v>
      </c>
      <c r="AC240" s="4">
        <f t="shared" si="52"/>
        <v>12.599999999999998</v>
      </c>
      <c r="AD240" s="4">
        <f t="shared" si="52"/>
        <v>12.299999999999997</v>
      </c>
      <c r="AE240" s="4">
        <f t="shared" si="52"/>
        <v>11.999999999999996</v>
      </c>
      <c r="AF240" s="4">
        <f t="shared" si="52"/>
        <v>11.699999999999996</v>
      </c>
      <c r="AG240" s="4">
        <f t="shared" si="52"/>
        <v>11.399999999999995</v>
      </c>
      <c r="AH240" s="4">
        <f t="shared" si="52"/>
        <v>11.199999999999996</v>
      </c>
      <c r="AI240" s="4">
        <f t="shared" si="52"/>
        <v>10.999999999999996</v>
      </c>
      <c r="AJ240" s="4">
        <f t="shared" si="52"/>
        <v>10.799999999999997</v>
      </c>
      <c r="AK240" s="4">
        <f t="shared" si="52"/>
        <v>10.599999999999998</v>
      </c>
    </row>
    <row r="241" spans="3:37" outlineLevel="1" x14ac:dyDescent="0.25">
      <c r="C241" s="38">
        <v>21.2</v>
      </c>
      <c r="D241" s="4">
        <f t="shared" ref="D241:AK248" si="53">(IF(C241&lt;=4.4,C241-$E$6,IF(AND(C241&gt;=4.5,C241&lt;=11.4),C241-$E$7,IF(AND(C241&gt;=11.5,C241&lt;=18.4),C241-$E$8,IF(AND(C241&gt;=18.5,C241&lt;=26.4),C241-$E$9,IF(AND(C241&gt;=26.4,C241&lt;=36),C241-$E$10,IF(C241&gt;=37,C241-$E$11)))))))</f>
        <v>20.8</v>
      </c>
      <c r="E241" s="4">
        <f t="shared" si="53"/>
        <v>20.400000000000002</v>
      </c>
      <c r="F241" s="4">
        <f t="shared" si="53"/>
        <v>20.000000000000004</v>
      </c>
      <c r="G241" s="4">
        <f t="shared" si="53"/>
        <v>19.600000000000005</v>
      </c>
      <c r="H241" s="4">
        <f t="shared" si="53"/>
        <v>19.200000000000006</v>
      </c>
      <c r="I241" s="4">
        <f t="shared" si="53"/>
        <v>18.800000000000008</v>
      </c>
      <c r="J241" s="4">
        <f t="shared" si="53"/>
        <v>18.400000000000009</v>
      </c>
      <c r="K241" s="4">
        <f t="shared" si="53"/>
        <v>18.100000000000009</v>
      </c>
      <c r="L241" s="4">
        <f t="shared" si="53"/>
        <v>17.800000000000008</v>
      </c>
      <c r="M241" s="4">
        <f t="shared" si="53"/>
        <v>17.500000000000007</v>
      </c>
      <c r="N241" s="4">
        <f t="shared" si="53"/>
        <v>17.200000000000006</v>
      </c>
      <c r="O241" s="4">
        <f t="shared" si="53"/>
        <v>16.900000000000006</v>
      </c>
      <c r="P241" s="4">
        <f t="shared" si="53"/>
        <v>16.600000000000005</v>
      </c>
      <c r="Q241" s="4">
        <f t="shared" si="53"/>
        <v>16.300000000000004</v>
      </c>
      <c r="R241" s="4">
        <f t="shared" si="53"/>
        <v>16.000000000000004</v>
      </c>
      <c r="S241" s="4">
        <f t="shared" si="53"/>
        <v>15.700000000000003</v>
      </c>
      <c r="T241" s="4">
        <f t="shared" si="53"/>
        <v>15.400000000000002</v>
      </c>
      <c r="U241" s="4">
        <f t="shared" si="53"/>
        <v>15.100000000000001</v>
      </c>
      <c r="V241" s="4">
        <f t="shared" si="53"/>
        <v>14.8</v>
      </c>
      <c r="W241" s="4">
        <f t="shared" si="53"/>
        <v>14.5</v>
      </c>
      <c r="X241" s="4">
        <f t="shared" si="53"/>
        <v>14.2</v>
      </c>
      <c r="Y241" s="4">
        <f t="shared" si="53"/>
        <v>13.899999999999999</v>
      </c>
      <c r="Z241" s="4">
        <f t="shared" si="53"/>
        <v>13.599999999999998</v>
      </c>
      <c r="AA241" s="4">
        <f t="shared" si="53"/>
        <v>13.299999999999997</v>
      </c>
      <c r="AB241" s="4">
        <f t="shared" si="53"/>
        <v>12.999999999999996</v>
      </c>
      <c r="AC241" s="4">
        <f t="shared" si="53"/>
        <v>12.699999999999996</v>
      </c>
      <c r="AD241" s="4">
        <f t="shared" si="53"/>
        <v>12.399999999999995</v>
      </c>
      <c r="AE241" s="4">
        <f t="shared" si="53"/>
        <v>12.099999999999994</v>
      </c>
      <c r="AF241" s="4">
        <f t="shared" si="53"/>
        <v>11.799999999999994</v>
      </c>
      <c r="AG241" s="4">
        <f t="shared" si="53"/>
        <v>11.499999999999993</v>
      </c>
      <c r="AH241" s="4">
        <f t="shared" si="53"/>
        <v>11.199999999999992</v>
      </c>
      <c r="AI241" s="4">
        <f t="shared" si="53"/>
        <v>10.999999999999993</v>
      </c>
      <c r="AJ241" s="4">
        <f t="shared" si="53"/>
        <v>10.799999999999994</v>
      </c>
      <c r="AK241" s="4">
        <f t="shared" si="53"/>
        <v>10.599999999999994</v>
      </c>
    </row>
    <row r="242" spans="3:37" outlineLevel="1" x14ac:dyDescent="0.25">
      <c r="C242" s="38">
        <v>21.3</v>
      </c>
      <c r="D242" s="4">
        <f t="shared" si="53"/>
        <v>20.900000000000002</v>
      </c>
      <c r="E242" s="4">
        <f t="shared" si="53"/>
        <v>20.500000000000004</v>
      </c>
      <c r="F242" s="4">
        <f t="shared" si="53"/>
        <v>20.100000000000005</v>
      </c>
      <c r="G242" s="4">
        <f t="shared" si="53"/>
        <v>19.700000000000006</v>
      </c>
      <c r="H242" s="4">
        <f t="shared" si="53"/>
        <v>19.300000000000008</v>
      </c>
      <c r="I242" s="4">
        <f t="shared" si="53"/>
        <v>18.900000000000009</v>
      </c>
      <c r="J242" s="4">
        <f t="shared" si="53"/>
        <v>18.500000000000011</v>
      </c>
      <c r="K242" s="4">
        <f t="shared" si="53"/>
        <v>18.100000000000012</v>
      </c>
      <c r="L242" s="4">
        <f t="shared" si="53"/>
        <v>17.800000000000011</v>
      </c>
      <c r="M242" s="4">
        <f t="shared" si="53"/>
        <v>17.500000000000011</v>
      </c>
      <c r="N242" s="4">
        <f t="shared" si="53"/>
        <v>17.20000000000001</v>
      </c>
      <c r="O242" s="4">
        <f t="shared" si="53"/>
        <v>16.900000000000009</v>
      </c>
      <c r="P242" s="4">
        <f t="shared" si="53"/>
        <v>16.600000000000009</v>
      </c>
      <c r="Q242" s="4">
        <f t="shared" si="53"/>
        <v>16.300000000000008</v>
      </c>
      <c r="R242" s="4">
        <f t="shared" si="53"/>
        <v>16.000000000000007</v>
      </c>
      <c r="S242" s="4">
        <f t="shared" si="53"/>
        <v>15.700000000000006</v>
      </c>
      <c r="T242" s="4">
        <f t="shared" si="53"/>
        <v>15.400000000000006</v>
      </c>
      <c r="U242" s="4">
        <f t="shared" si="53"/>
        <v>15.100000000000005</v>
      </c>
      <c r="V242" s="4">
        <f t="shared" si="53"/>
        <v>14.800000000000004</v>
      </c>
      <c r="W242" s="4">
        <f t="shared" si="53"/>
        <v>14.500000000000004</v>
      </c>
      <c r="X242" s="4">
        <f t="shared" si="53"/>
        <v>14.200000000000003</v>
      </c>
      <c r="Y242" s="4">
        <f t="shared" si="53"/>
        <v>13.900000000000002</v>
      </c>
      <c r="Z242" s="4">
        <f t="shared" si="53"/>
        <v>13.600000000000001</v>
      </c>
      <c r="AA242" s="4">
        <f t="shared" si="53"/>
        <v>13.3</v>
      </c>
      <c r="AB242" s="4">
        <f t="shared" si="53"/>
        <v>13</v>
      </c>
      <c r="AC242" s="4">
        <f t="shared" si="53"/>
        <v>12.7</v>
      </c>
      <c r="AD242" s="4">
        <f t="shared" si="53"/>
        <v>12.399999999999999</v>
      </c>
      <c r="AE242" s="4">
        <f t="shared" si="53"/>
        <v>12.099999999999998</v>
      </c>
      <c r="AF242" s="4">
        <f t="shared" si="53"/>
        <v>11.799999999999997</v>
      </c>
      <c r="AG242" s="4">
        <f t="shared" si="53"/>
        <v>11.499999999999996</v>
      </c>
      <c r="AH242" s="4">
        <f t="shared" si="53"/>
        <v>11.199999999999996</v>
      </c>
      <c r="AI242" s="4">
        <f t="shared" si="53"/>
        <v>10.999999999999996</v>
      </c>
      <c r="AJ242" s="4">
        <f t="shared" si="53"/>
        <v>10.799999999999997</v>
      </c>
      <c r="AK242" s="4">
        <f t="shared" si="53"/>
        <v>10.599999999999998</v>
      </c>
    </row>
    <row r="243" spans="3:37" outlineLevel="1" x14ac:dyDescent="0.25">
      <c r="C243" s="38">
        <v>21.4</v>
      </c>
      <c r="D243" s="4">
        <f t="shared" si="53"/>
        <v>21</v>
      </c>
      <c r="E243" s="4">
        <f t="shared" si="53"/>
        <v>20.6</v>
      </c>
      <c r="F243" s="4">
        <f t="shared" si="53"/>
        <v>20.200000000000003</v>
      </c>
      <c r="G243" s="4">
        <f t="shared" si="53"/>
        <v>19.800000000000004</v>
      </c>
      <c r="H243" s="4">
        <f t="shared" si="53"/>
        <v>19.400000000000006</v>
      </c>
      <c r="I243" s="4">
        <f t="shared" si="53"/>
        <v>19.000000000000007</v>
      </c>
      <c r="J243" s="4">
        <f t="shared" si="53"/>
        <v>18.600000000000009</v>
      </c>
      <c r="K243" s="4">
        <f t="shared" si="53"/>
        <v>18.20000000000001</v>
      </c>
      <c r="L243" s="4">
        <f t="shared" si="53"/>
        <v>17.900000000000009</v>
      </c>
      <c r="M243" s="4">
        <f t="shared" si="53"/>
        <v>17.600000000000009</v>
      </c>
      <c r="N243" s="4">
        <f t="shared" si="53"/>
        <v>17.300000000000008</v>
      </c>
      <c r="O243" s="4">
        <f t="shared" si="53"/>
        <v>17.000000000000007</v>
      </c>
      <c r="P243" s="4">
        <f t="shared" si="53"/>
        <v>16.700000000000006</v>
      </c>
      <c r="Q243" s="4">
        <f t="shared" si="53"/>
        <v>16.400000000000006</v>
      </c>
      <c r="R243" s="4">
        <f t="shared" si="53"/>
        <v>16.100000000000005</v>
      </c>
      <c r="S243" s="4">
        <f t="shared" si="53"/>
        <v>15.800000000000004</v>
      </c>
      <c r="T243" s="4">
        <f t="shared" si="53"/>
        <v>15.500000000000004</v>
      </c>
      <c r="U243" s="4">
        <f t="shared" si="53"/>
        <v>15.200000000000003</v>
      </c>
      <c r="V243" s="4">
        <f t="shared" si="53"/>
        <v>14.900000000000002</v>
      </c>
      <c r="W243" s="4">
        <f t="shared" si="53"/>
        <v>14.600000000000001</v>
      </c>
      <c r="X243" s="4">
        <f t="shared" si="53"/>
        <v>14.3</v>
      </c>
      <c r="Y243" s="4">
        <f t="shared" si="53"/>
        <v>14</v>
      </c>
      <c r="Z243" s="4">
        <f t="shared" si="53"/>
        <v>13.7</v>
      </c>
      <c r="AA243" s="4">
        <f t="shared" si="53"/>
        <v>13.399999999999999</v>
      </c>
      <c r="AB243" s="4">
        <f t="shared" si="53"/>
        <v>13.099999999999998</v>
      </c>
      <c r="AC243" s="4">
        <f t="shared" si="53"/>
        <v>12.799999999999997</v>
      </c>
      <c r="AD243" s="4">
        <f t="shared" si="53"/>
        <v>12.499999999999996</v>
      </c>
      <c r="AE243" s="4">
        <f t="shared" si="53"/>
        <v>12.199999999999996</v>
      </c>
      <c r="AF243" s="4">
        <f t="shared" si="53"/>
        <v>11.899999999999995</v>
      </c>
      <c r="AG243" s="4">
        <f t="shared" si="53"/>
        <v>11.599999999999994</v>
      </c>
      <c r="AH243" s="4">
        <f t="shared" si="53"/>
        <v>11.299999999999994</v>
      </c>
      <c r="AI243" s="4">
        <f t="shared" si="53"/>
        <v>11.099999999999994</v>
      </c>
      <c r="AJ243" s="4">
        <f t="shared" si="53"/>
        <v>10.899999999999995</v>
      </c>
      <c r="AK243" s="4">
        <f t="shared" si="53"/>
        <v>10.699999999999996</v>
      </c>
    </row>
    <row r="244" spans="3:37" outlineLevel="1" x14ac:dyDescent="0.25">
      <c r="C244" s="38">
        <v>21.5</v>
      </c>
      <c r="D244" s="4">
        <f t="shared" si="53"/>
        <v>21.1</v>
      </c>
      <c r="E244" s="4">
        <f t="shared" si="53"/>
        <v>20.700000000000003</v>
      </c>
      <c r="F244" s="4">
        <f t="shared" si="53"/>
        <v>20.300000000000004</v>
      </c>
      <c r="G244" s="4">
        <f t="shared" si="53"/>
        <v>19.900000000000006</v>
      </c>
      <c r="H244" s="4">
        <f t="shared" si="53"/>
        <v>19.500000000000007</v>
      </c>
      <c r="I244" s="4">
        <f t="shared" si="53"/>
        <v>19.100000000000009</v>
      </c>
      <c r="J244" s="4">
        <f t="shared" si="53"/>
        <v>18.70000000000001</v>
      </c>
      <c r="K244" s="4">
        <f t="shared" si="53"/>
        <v>18.300000000000011</v>
      </c>
      <c r="L244" s="4">
        <f t="shared" si="53"/>
        <v>18.000000000000011</v>
      </c>
      <c r="M244" s="4">
        <f t="shared" si="53"/>
        <v>17.70000000000001</v>
      </c>
      <c r="N244" s="4">
        <f t="shared" si="53"/>
        <v>17.400000000000009</v>
      </c>
      <c r="O244" s="4">
        <f t="shared" si="53"/>
        <v>17.100000000000009</v>
      </c>
      <c r="P244" s="4">
        <f t="shared" si="53"/>
        <v>16.800000000000008</v>
      </c>
      <c r="Q244" s="4">
        <f t="shared" si="53"/>
        <v>16.500000000000007</v>
      </c>
      <c r="R244" s="4">
        <f t="shared" si="53"/>
        <v>16.200000000000006</v>
      </c>
      <c r="S244" s="4">
        <f t="shared" si="53"/>
        <v>15.900000000000006</v>
      </c>
      <c r="T244" s="4">
        <f t="shared" si="53"/>
        <v>15.600000000000005</v>
      </c>
      <c r="U244" s="4">
        <f t="shared" si="53"/>
        <v>15.300000000000004</v>
      </c>
      <c r="V244" s="4">
        <f t="shared" si="53"/>
        <v>15.000000000000004</v>
      </c>
      <c r="W244" s="4">
        <f t="shared" si="53"/>
        <v>14.700000000000003</v>
      </c>
      <c r="X244" s="4">
        <f t="shared" si="53"/>
        <v>14.400000000000002</v>
      </c>
      <c r="Y244" s="4">
        <f t="shared" si="53"/>
        <v>14.100000000000001</v>
      </c>
      <c r="Z244" s="4">
        <f t="shared" si="53"/>
        <v>13.8</v>
      </c>
      <c r="AA244" s="4">
        <f t="shared" si="53"/>
        <v>13.5</v>
      </c>
      <c r="AB244" s="4">
        <f t="shared" si="53"/>
        <v>13.2</v>
      </c>
      <c r="AC244" s="4">
        <f t="shared" si="53"/>
        <v>12.899999999999999</v>
      </c>
      <c r="AD244" s="4">
        <f t="shared" si="53"/>
        <v>12.599999999999998</v>
      </c>
      <c r="AE244" s="4">
        <f t="shared" si="53"/>
        <v>12.299999999999997</v>
      </c>
      <c r="AF244" s="4">
        <f t="shared" si="53"/>
        <v>11.999999999999996</v>
      </c>
      <c r="AG244" s="4">
        <f t="shared" si="53"/>
        <v>11.699999999999996</v>
      </c>
      <c r="AH244" s="4">
        <f t="shared" si="53"/>
        <v>11.399999999999995</v>
      </c>
      <c r="AI244" s="4">
        <f t="shared" si="53"/>
        <v>11.199999999999996</v>
      </c>
      <c r="AJ244" s="4">
        <f t="shared" si="53"/>
        <v>10.999999999999996</v>
      </c>
      <c r="AK244" s="4">
        <f t="shared" si="53"/>
        <v>10.799999999999997</v>
      </c>
    </row>
    <row r="245" spans="3:37" outlineLevel="1" x14ac:dyDescent="0.25">
      <c r="C245" s="38">
        <v>21.6</v>
      </c>
      <c r="D245" s="4">
        <f t="shared" si="53"/>
        <v>21.200000000000003</v>
      </c>
      <c r="E245" s="4">
        <f t="shared" si="53"/>
        <v>20.800000000000004</v>
      </c>
      <c r="F245" s="4">
        <f t="shared" si="53"/>
        <v>20.400000000000006</v>
      </c>
      <c r="G245" s="4">
        <f t="shared" si="53"/>
        <v>20.000000000000007</v>
      </c>
      <c r="H245" s="4">
        <f t="shared" si="53"/>
        <v>19.600000000000009</v>
      </c>
      <c r="I245" s="4">
        <f t="shared" si="53"/>
        <v>19.20000000000001</v>
      </c>
      <c r="J245" s="4">
        <f t="shared" si="53"/>
        <v>18.800000000000011</v>
      </c>
      <c r="K245" s="4">
        <f t="shared" si="53"/>
        <v>18.400000000000013</v>
      </c>
      <c r="L245" s="4">
        <f t="shared" si="53"/>
        <v>18.100000000000012</v>
      </c>
      <c r="M245" s="4">
        <f t="shared" si="53"/>
        <v>17.800000000000011</v>
      </c>
      <c r="N245" s="4">
        <f t="shared" si="53"/>
        <v>17.500000000000011</v>
      </c>
      <c r="O245" s="4">
        <f t="shared" si="53"/>
        <v>17.20000000000001</v>
      </c>
      <c r="P245" s="4">
        <f t="shared" si="53"/>
        <v>16.900000000000009</v>
      </c>
      <c r="Q245" s="4">
        <f t="shared" si="53"/>
        <v>16.600000000000009</v>
      </c>
      <c r="R245" s="4">
        <f t="shared" si="53"/>
        <v>16.300000000000008</v>
      </c>
      <c r="S245" s="4">
        <f t="shared" si="53"/>
        <v>16.000000000000007</v>
      </c>
      <c r="T245" s="4">
        <f t="shared" si="53"/>
        <v>15.700000000000006</v>
      </c>
      <c r="U245" s="4">
        <f t="shared" si="53"/>
        <v>15.400000000000006</v>
      </c>
      <c r="V245" s="4">
        <f t="shared" si="53"/>
        <v>15.100000000000005</v>
      </c>
      <c r="W245" s="4">
        <f t="shared" si="53"/>
        <v>14.800000000000004</v>
      </c>
      <c r="X245" s="4">
        <f t="shared" si="53"/>
        <v>14.500000000000004</v>
      </c>
      <c r="Y245" s="4">
        <f t="shared" si="53"/>
        <v>14.200000000000003</v>
      </c>
      <c r="Z245" s="4">
        <f t="shared" si="53"/>
        <v>13.900000000000002</v>
      </c>
      <c r="AA245" s="4">
        <f t="shared" si="53"/>
        <v>13.600000000000001</v>
      </c>
      <c r="AB245" s="4">
        <f t="shared" si="53"/>
        <v>13.3</v>
      </c>
      <c r="AC245" s="4">
        <f t="shared" si="53"/>
        <v>13</v>
      </c>
      <c r="AD245" s="4">
        <f t="shared" si="53"/>
        <v>12.7</v>
      </c>
      <c r="AE245" s="4">
        <f t="shared" si="53"/>
        <v>12.399999999999999</v>
      </c>
      <c r="AF245" s="4">
        <f t="shared" si="53"/>
        <v>12.099999999999998</v>
      </c>
      <c r="AG245" s="4">
        <f t="shared" si="53"/>
        <v>11.799999999999997</v>
      </c>
      <c r="AH245" s="4">
        <f t="shared" si="53"/>
        <v>11.499999999999996</v>
      </c>
      <c r="AI245" s="4">
        <f t="shared" si="53"/>
        <v>11.199999999999996</v>
      </c>
      <c r="AJ245" s="4">
        <f t="shared" si="53"/>
        <v>10.999999999999996</v>
      </c>
      <c r="AK245" s="4">
        <f t="shared" si="53"/>
        <v>10.799999999999997</v>
      </c>
    </row>
    <row r="246" spans="3:37" outlineLevel="1" x14ac:dyDescent="0.25">
      <c r="C246" s="38">
        <v>21.7</v>
      </c>
      <c r="D246" s="4">
        <f t="shared" si="53"/>
        <v>21.3</v>
      </c>
      <c r="E246" s="4">
        <f t="shared" si="53"/>
        <v>20.900000000000002</v>
      </c>
      <c r="F246" s="4">
        <f t="shared" si="53"/>
        <v>20.500000000000004</v>
      </c>
      <c r="G246" s="4">
        <f t="shared" si="53"/>
        <v>20.100000000000005</v>
      </c>
      <c r="H246" s="4">
        <f t="shared" si="53"/>
        <v>19.700000000000006</v>
      </c>
      <c r="I246" s="4">
        <f t="shared" si="53"/>
        <v>19.300000000000008</v>
      </c>
      <c r="J246" s="4">
        <f t="shared" si="53"/>
        <v>18.900000000000009</v>
      </c>
      <c r="K246" s="4">
        <f t="shared" si="53"/>
        <v>18.500000000000011</v>
      </c>
      <c r="L246" s="4">
        <f t="shared" si="53"/>
        <v>18.100000000000012</v>
      </c>
      <c r="M246" s="4">
        <f t="shared" si="53"/>
        <v>17.800000000000011</v>
      </c>
      <c r="N246" s="4">
        <f t="shared" si="53"/>
        <v>17.500000000000011</v>
      </c>
      <c r="O246" s="4">
        <f t="shared" si="53"/>
        <v>17.20000000000001</v>
      </c>
      <c r="P246" s="4">
        <f t="shared" si="53"/>
        <v>16.900000000000009</v>
      </c>
      <c r="Q246" s="4">
        <f t="shared" si="53"/>
        <v>16.600000000000009</v>
      </c>
      <c r="R246" s="4">
        <f t="shared" si="53"/>
        <v>16.300000000000008</v>
      </c>
      <c r="S246" s="4">
        <f t="shared" si="53"/>
        <v>16.000000000000007</v>
      </c>
      <c r="T246" s="4">
        <f t="shared" si="53"/>
        <v>15.700000000000006</v>
      </c>
      <c r="U246" s="4">
        <f t="shared" si="53"/>
        <v>15.400000000000006</v>
      </c>
      <c r="V246" s="4">
        <f t="shared" si="53"/>
        <v>15.100000000000005</v>
      </c>
      <c r="W246" s="4">
        <f t="shared" si="53"/>
        <v>14.800000000000004</v>
      </c>
      <c r="X246" s="4">
        <f t="shared" si="53"/>
        <v>14.500000000000004</v>
      </c>
      <c r="Y246" s="4">
        <f t="shared" si="53"/>
        <v>14.200000000000003</v>
      </c>
      <c r="Z246" s="4">
        <f t="shared" si="53"/>
        <v>13.900000000000002</v>
      </c>
      <c r="AA246" s="4">
        <f t="shared" si="53"/>
        <v>13.600000000000001</v>
      </c>
      <c r="AB246" s="4">
        <f t="shared" si="53"/>
        <v>13.3</v>
      </c>
      <c r="AC246" s="4">
        <f t="shared" si="53"/>
        <v>13</v>
      </c>
      <c r="AD246" s="4">
        <f t="shared" si="53"/>
        <v>12.7</v>
      </c>
      <c r="AE246" s="4">
        <f t="shared" si="53"/>
        <v>12.399999999999999</v>
      </c>
      <c r="AF246" s="4">
        <f t="shared" si="53"/>
        <v>12.099999999999998</v>
      </c>
      <c r="AG246" s="4">
        <f t="shared" si="53"/>
        <v>11.799999999999997</v>
      </c>
      <c r="AH246" s="4">
        <f t="shared" si="53"/>
        <v>11.499999999999996</v>
      </c>
      <c r="AI246" s="4">
        <f t="shared" si="53"/>
        <v>11.199999999999996</v>
      </c>
      <c r="AJ246" s="4">
        <f t="shared" si="53"/>
        <v>10.999999999999996</v>
      </c>
      <c r="AK246" s="4">
        <f t="shared" si="53"/>
        <v>10.799999999999997</v>
      </c>
    </row>
    <row r="247" spans="3:37" outlineLevel="1" x14ac:dyDescent="0.25">
      <c r="C247" s="38">
        <v>21.8</v>
      </c>
      <c r="D247" s="4">
        <f t="shared" si="53"/>
        <v>21.400000000000002</v>
      </c>
      <c r="E247" s="4">
        <f t="shared" si="53"/>
        <v>21.000000000000004</v>
      </c>
      <c r="F247" s="4">
        <f t="shared" si="53"/>
        <v>20.600000000000005</v>
      </c>
      <c r="G247" s="4">
        <f t="shared" si="53"/>
        <v>20.200000000000006</v>
      </c>
      <c r="H247" s="4">
        <f t="shared" si="53"/>
        <v>19.800000000000008</v>
      </c>
      <c r="I247" s="4">
        <f t="shared" si="53"/>
        <v>19.400000000000009</v>
      </c>
      <c r="J247" s="4">
        <f t="shared" si="53"/>
        <v>19.000000000000011</v>
      </c>
      <c r="K247" s="4">
        <f t="shared" si="53"/>
        <v>18.600000000000012</v>
      </c>
      <c r="L247" s="4">
        <f t="shared" si="53"/>
        <v>18.200000000000014</v>
      </c>
      <c r="M247" s="4">
        <f t="shared" si="53"/>
        <v>17.900000000000013</v>
      </c>
      <c r="N247" s="4">
        <f t="shared" si="53"/>
        <v>17.600000000000012</v>
      </c>
      <c r="O247" s="4">
        <f t="shared" si="53"/>
        <v>17.300000000000011</v>
      </c>
      <c r="P247" s="4">
        <f t="shared" si="53"/>
        <v>17.000000000000011</v>
      </c>
      <c r="Q247" s="4">
        <f t="shared" si="53"/>
        <v>16.70000000000001</v>
      </c>
      <c r="R247" s="4">
        <f t="shared" si="53"/>
        <v>16.400000000000009</v>
      </c>
      <c r="S247" s="4">
        <f t="shared" si="53"/>
        <v>16.100000000000009</v>
      </c>
      <c r="T247" s="4">
        <f t="shared" si="53"/>
        <v>15.800000000000008</v>
      </c>
      <c r="U247" s="4">
        <f t="shared" si="53"/>
        <v>15.500000000000007</v>
      </c>
      <c r="V247" s="4">
        <f t="shared" si="53"/>
        <v>15.200000000000006</v>
      </c>
      <c r="W247" s="4">
        <f t="shared" si="53"/>
        <v>14.900000000000006</v>
      </c>
      <c r="X247" s="4">
        <f t="shared" si="53"/>
        <v>14.600000000000005</v>
      </c>
      <c r="Y247" s="4">
        <f t="shared" si="53"/>
        <v>14.300000000000004</v>
      </c>
      <c r="Z247" s="4">
        <f t="shared" si="53"/>
        <v>14.000000000000004</v>
      </c>
      <c r="AA247" s="4">
        <f t="shared" si="53"/>
        <v>13.700000000000003</v>
      </c>
      <c r="AB247" s="4">
        <f t="shared" si="53"/>
        <v>13.400000000000002</v>
      </c>
      <c r="AC247" s="4">
        <f t="shared" si="53"/>
        <v>13.100000000000001</v>
      </c>
      <c r="AD247" s="4">
        <f t="shared" si="53"/>
        <v>12.8</v>
      </c>
      <c r="AE247" s="4">
        <f t="shared" si="53"/>
        <v>12.5</v>
      </c>
      <c r="AF247" s="4">
        <f t="shared" si="53"/>
        <v>12.2</v>
      </c>
      <c r="AG247" s="4">
        <f t="shared" si="53"/>
        <v>11.899999999999999</v>
      </c>
      <c r="AH247" s="4">
        <f t="shared" si="53"/>
        <v>11.599999999999998</v>
      </c>
      <c r="AI247" s="4">
        <f t="shared" si="53"/>
        <v>11.299999999999997</v>
      </c>
      <c r="AJ247" s="4">
        <f t="shared" si="53"/>
        <v>11.099999999999998</v>
      </c>
      <c r="AK247" s="4">
        <f t="shared" si="53"/>
        <v>10.899999999999999</v>
      </c>
    </row>
    <row r="248" spans="3:37" outlineLevel="1" x14ac:dyDescent="0.25">
      <c r="C248" s="38">
        <v>21.9</v>
      </c>
      <c r="D248" s="4">
        <f t="shared" si="53"/>
        <v>21.5</v>
      </c>
      <c r="E248" s="4">
        <f t="shared" si="53"/>
        <v>21.1</v>
      </c>
      <c r="F248" s="4">
        <f t="shared" si="53"/>
        <v>20.700000000000003</v>
      </c>
      <c r="G248" s="4">
        <f t="shared" si="53"/>
        <v>20.300000000000004</v>
      </c>
      <c r="H248" s="4">
        <f t="shared" si="53"/>
        <v>19.900000000000006</v>
      </c>
      <c r="I248" s="4">
        <f t="shared" si="53"/>
        <v>19.500000000000007</v>
      </c>
      <c r="J248" s="4">
        <f t="shared" si="53"/>
        <v>19.100000000000009</v>
      </c>
      <c r="K248" s="4">
        <f t="shared" si="53"/>
        <v>18.70000000000001</v>
      </c>
      <c r="L248" s="4">
        <f t="shared" si="53"/>
        <v>18.300000000000011</v>
      </c>
      <c r="M248" s="4">
        <f t="shared" si="53"/>
        <v>18.000000000000011</v>
      </c>
      <c r="N248" s="4">
        <f t="shared" si="53"/>
        <v>17.70000000000001</v>
      </c>
      <c r="O248" s="4">
        <f t="shared" si="53"/>
        <v>17.400000000000009</v>
      </c>
      <c r="P248" s="4">
        <f t="shared" si="53"/>
        <v>17.100000000000009</v>
      </c>
      <c r="Q248" s="4">
        <f t="shared" si="53"/>
        <v>16.800000000000008</v>
      </c>
      <c r="R248" s="4">
        <f t="shared" si="53"/>
        <v>16.500000000000007</v>
      </c>
      <c r="S248" s="4">
        <f t="shared" si="53"/>
        <v>16.200000000000006</v>
      </c>
      <c r="T248" s="4">
        <f t="shared" si="53"/>
        <v>15.900000000000006</v>
      </c>
      <c r="U248" s="4">
        <f t="shared" ref="U248:AK248" si="54">(IF(T248&lt;=4.4,T248-$E$6,IF(AND(T248&gt;=4.5,T248&lt;=11.4),T248-$E$7,IF(AND(T248&gt;=11.5,T248&lt;=18.4),T248-$E$8,IF(AND(T248&gt;=18.5,T248&lt;=26.4),T248-$E$9,IF(AND(T248&gt;=26.4,T248&lt;=36),T248-$E$10,IF(T248&gt;=37,T248-$E$11)))))))</f>
        <v>15.600000000000005</v>
      </c>
      <c r="V248" s="4">
        <f t="shared" si="54"/>
        <v>15.300000000000004</v>
      </c>
      <c r="W248" s="4">
        <f t="shared" si="54"/>
        <v>15.000000000000004</v>
      </c>
      <c r="X248" s="4">
        <f t="shared" si="54"/>
        <v>14.700000000000003</v>
      </c>
      <c r="Y248" s="4">
        <f t="shared" si="54"/>
        <v>14.400000000000002</v>
      </c>
      <c r="Z248" s="4">
        <f t="shared" si="54"/>
        <v>14.100000000000001</v>
      </c>
      <c r="AA248" s="4">
        <f t="shared" si="54"/>
        <v>13.8</v>
      </c>
      <c r="AB248" s="4">
        <f t="shared" si="54"/>
        <v>13.5</v>
      </c>
      <c r="AC248" s="4">
        <f t="shared" si="54"/>
        <v>13.2</v>
      </c>
      <c r="AD248" s="4">
        <f t="shared" si="54"/>
        <v>12.899999999999999</v>
      </c>
      <c r="AE248" s="4">
        <f t="shared" si="54"/>
        <v>12.599999999999998</v>
      </c>
      <c r="AF248" s="4">
        <f t="shared" si="54"/>
        <v>12.299999999999997</v>
      </c>
      <c r="AG248" s="4">
        <f t="shared" si="54"/>
        <v>11.999999999999996</v>
      </c>
      <c r="AH248" s="4">
        <f t="shared" si="54"/>
        <v>11.699999999999996</v>
      </c>
      <c r="AI248" s="4">
        <f t="shared" si="54"/>
        <v>11.399999999999995</v>
      </c>
      <c r="AJ248" s="4">
        <f t="shared" si="54"/>
        <v>11.199999999999996</v>
      </c>
      <c r="AK248" s="4">
        <f t="shared" si="54"/>
        <v>10.999999999999996</v>
      </c>
    </row>
    <row r="249" spans="3:37" outlineLevel="1" x14ac:dyDescent="0.25">
      <c r="C249" s="38">
        <v>22</v>
      </c>
      <c r="D249" s="4">
        <f t="shared" ref="D249:AK256" si="55">(IF(C249&lt;=4.4,C249-$E$6,IF(AND(C249&gt;=4.5,C249&lt;=11.4),C249-$E$7,IF(AND(C249&gt;=11.5,C249&lt;=18.4),C249-$E$8,IF(AND(C249&gt;=18.5,C249&lt;=26.4),C249-$E$9,IF(AND(C249&gt;=26.4,C249&lt;=36),C249-$E$10,IF(C249&gt;=37,C249-$E$11)))))))</f>
        <v>21.6</v>
      </c>
      <c r="E249" s="4">
        <f t="shared" si="55"/>
        <v>21.200000000000003</v>
      </c>
      <c r="F249" s="4">
        <f t="shared" si="55"/>
        <v>20.800000000000004</v>
      </c>
      <c r="G249" s="4">
        <f t="shared" si="55"/>
        <v>20.400000000000006</v>
      </c>
      <c r="H249" s="4">
        <f t="shared" si="55"/>
        <v>20.000000000000007</v>
      </c>
      <c r="I249" s="4">
        <f t="shared" si="55"/>
        <v>19.600000000000009</v>
      </c>
      <c r="J249" s="4">
        <f t="shared" si="55"/>
        <v>19.20000000000001</v>
      </c>
      <c r="K249" s="4">
        <f t="shared" si="55"/>
        <v>18.800000000000011</v>
      </c>
      <c r="L249" s="4">
        <f t="shared" si="55"/>
        <v>18.400000000000013</v>
      </c>
      <c r="M249" s="4">
        <f t="shared" si="55"/>
        <v>18.100000000000012</v>
      </c>
      <c r="N249" s="4">
        <f t="shared" si="55"/>
        <v>17.800000000000011</v>
      </c>
      <c r="O249" s="4">
        <f t="shared" si="55"/>
        <v>17.500000000000011</v>
      </c>
      <c r="P249" s="4">
        <f t="shared" si="55"/>
        <v>17.20000000000001</v>
      </c>
      <c r="Q249" s="4">
        <f t="shared" si="55"/>
        <v>16.900000000000009</v>
      </c>
      <c r="R249" s="4">
        <f t="shared" si="55"/>
        <v>16.600000000000009</v>
      </c>
      <c r="S249" s="4">
        <f t="shared" si="55"/>
        <v>16.300000000000008</v>
      </c>
      <c r="T249" s="4">
        <f t="shared" si="55"/>
        <v>16.000000000000007</v>
      </c>
      <c r="U249" s="4">
        <f t="shared" si="55"/>
        <v>15.700000000000006</v>
      </c>
      <c r="V249" s="4">
        <f t="shared" si="55"/>
        <v>15.400000000000006</v>
      </c>
      <c r="W249" s="4">
        <f t="shared" si="55"/>
        <v>15.100000000000005</v>
      </c>
      <c r="X249" s="4">
        <f t="shared" si="55"/>
        <v>14.800000000000004</v>
      </c>
      <c r="Y249" s="4">
        <f t="shared" si="55"/>
        <v>14.500000000000004</v>
      </c>
      <c r="Z249" s="4">
        <f t="shared" si="55"/>
        <v>14.200000000000003</v>
      </c>
      <c r="AA249" s="4">
        <f t="shared" si="55"/>
        <v>13.900000000000002</v>
      </c>
      <c r="AB249" s="4">
        <f t="shared" si="55"/>
        <v>13.600000000000001</v>
      </c>
      <c r="AC249" s="4">
        <f t="shared" si="55"/>
        <v>13.3</v>
      </c>
      <c r="AD249" s="4">
        <f t="shared" si="55"/>
        <v>13</v>
      </c>
      <c r="AE249" s="4">
        <f t="shared" si="55"/>
        <v>12.7</v>
      </c>
      <c r="AF249" s="4">
        <f t="shared" si="55"/>
        <v>12.399999999999999</v>
      </c>
      <c r="AG249" s="4">
        <f t="shared" si="55"/>
        <v>12.099999999999998</v>
      </c>
      <c r="AH249" s="4">
        <f t="shared" si="55"/>
        <v>11.799999999999997</v>
      </c>
      <c r="AI249" s="4">
        <f t="shared" si="55"/>
        <v>11.499999999999996</v>
      </c>
      <c r="AJ249" s="4">
        <f t="shared" si="55"/>
        <v>11.199999999999996</v>
      </c>
      <c r="AK249" s="4">
        <f t="shared" si="55"/>
        <v>10.999999999999996</v>
      </c>
    </row>
    <row r="250" spans="3:37" outlineLevel="1" x14ac:dyDescent="0.25">
      <c r="C250" s="38">
        <v>22.1</v>
      </c>
      <c r="D250" s="4">
        <f t="shared" si="55"/>
        <v>21.700000000000003</v>
      </c>
      <c r="E250" s="4">
        <f t="shared" si="55"/>
        <v>21.300000000000004</v>
      </c>
      <c r="F250" s="4">
        <f t="shared" si="55"/>
        <v>20.900000000000006</v>
      </c>
      <c r="G250" s="4">
        <f t="shared" si="55"/>
        <v>20.500000000000007</v>
      </c>
      <c r="H250" s="4">
        <f t="shared" si="55"/>
        <v>20.100000000000009</v>
      </c>
      <c r="I250" s="4">
        <f t="shared" si="55"/>
        <v>19.70000000000001</v>
      </c>
      <c r="J250" s="4">
        <f t="shared" si="55"/>
        <v>19.300000000000011</v>
      </c>
      <c r="K250" s="4">
        <f t="shared" si="55"/>
        <v>18.900000000000013</v>
      </c>
      <c r="L250" s="4">
        <f t="shared" si="55"/>
        <v>18.500000000000014</v>
      </c>
      <c r="M250" s="4">
        <f t="shared" si="55"/>
        <v>18.100000000000016</v>
      </c>
      <c r="N250" s="4">
        <f t="shared" si="55"/>
        <v>17.800000000000015</v>
      </c>
      <c r="O250" s="4">
        <f t="shared" si="55"/>
        <v>17.500000000000014</v>
      </c>
      <c r="P250" s="4">
        <f t="shared" si="55"/>
        <v>17.200000000000014</v>
      </c>
      <c r="Q250" s="4">
        <f t="shared" si="55"/>
        <v>16.900000000000013</v>
      </c>
      <c r="R250" s="4">
        <f t="shared" si="55"/>
        <v>16.600000000000012</v>
      </c>
      <c r="S250" s="4">
        <f t="shared" si="55"/>
        <v>16.300000000000011</v>
      </c>
      <c r="T250" s="4">
        <f t="shared" si="55"/>
        <v>16.000000000000011</v>
      </c>
      <c r="U250" s="4">
        <f t="shared" si="55"/>
        <v>15.70000000000001</v>
      </c>
      <c r="V250" s="4">
        <f t="shared" si="55"/>
        <v>15.400000000000009</v>
      </c>
      <c r="W250" s="4">
        <f t="shared" si="55"/>
        <v>15.100000000000009</v>
      </c>
      <c r="X250" s="4">
        <f t="shared" si="55"/>
        <v>14.800000000000008</v>
      </c>
      <c r="Y250" s="4">
        <f t="shared" si="55"/>
        <v>14.500000000000007</v>
      </c>
      <c r="Z250" s="4">
        <f t="shared" si="55"/>
        <v>14.200000000000006</v>
      </c>
      <c r="AA250" s="4">
        <f t="shared" si="55"/>
        <v>13.900000000000006</v>
      </c>
      <c r="AB250" s="4">
        <f t="shared" si="55"/>
        <v>13.600000000000005</v>
      </c>
      <c r="AC250" s="4">
        <f t="shared" si="55"/>
        <v>13.300000000000004</v>
      </c>
      <c r="AD250" s="4">
        <f t="shared" si="55"/>
        <v>13.000000000000004</v>
      </c>
      <c r="AE250" s="4">
        <f t="shared" si="55"/>
        <v>12.700000000000003</v>
      </c>
      <c r="AF250" s="4">
        <f t="shared" si="55"/>
        <v>12.400000000000002</v>
      </c>
      <c r="AG250" s="4">
        <f t="shared" si="55"/>
        <v>12.100000000000001</v>
      </c>
      <c r="AH250" s="4">
        <f t="shared" si="55"/>
        <v>11.8</v>
      </c>
      <c r="AI250" s="4">
        <f t="shared" si="55"/>
        <v>11.5</v>
      </c>
      <c r="AJ250" s="4">
        <f t="shared" si="55"/>
        <v>11.2</v>
      </c>
      <c r="AK250" s="4">
        <f t="shared" si="55"/>
        <v>11</v>
      </c>
    </row>
    <row r="251" spans="3:37" outlineLevel="1" x14ac:dyDescent="0.25">
      <c r="C251" s="38">
        <v>22.2</v>
      </c>
      <c r="D251" s="4">
        <f t="shared" si="55"/>
        <v>21.8</v>
      </c>
      <c r="E251" s="4">
        <f t="shared" si="55"/>
        <v>21.400000000000002</v>
      </c>
      <c r="F251" s="4">
        <f t="shared" si="55"/>
        <v>21.000000000000004</v>
      </c>
      <c r="G251" s="4">
        <f t="shared" si="55"/>
        <v>20.600000000000005</v>
      </c>
      <c r="H251" s="4">
        <f t="shared" si="55"/>
        <v>20.200000000000006</v>
      </c>
      <c r="I251" s="4">
        <f t="shared" si="55"/>
        <v>19.800000000000008</v>
      </c>
      <c r="J251" s="4">
        <f t="shared" si="55"/>
        <v>19.400000000000009</v>
      </c>
      <c r="K251" s="4">
        <f t="shared" si="55"/>
        <v>19.000000000000011</v>
      </c>
      <c r="L251" s="4">
        <f t="shared" si="55"/>
        <v>18.600000000000012</v>
      </c>
      <c r="M251" s="4">
        <f t="shared" si="55"/>
        <v>18.200000000000014</v>
      </c>
      <c r="N251" s="4">
        <f t="shared" si="55"/>
        <v>17.900000000000013</v>
      </c>
      <c r="O251" s="4">
        <f t="shared" si="55"/>
        <v>17.600000000000012</v>
      </c>
      <c r="P251" s="4">
        <f t="shared" si="55"/>
        <v>17.300000000000011</v>
      </c>
      <c r="Q251" s="4">
        <f t="shared" si="55"/>
        <v>17.000000000000011</v>
      </c>
      <c r="R251" s="4">
        <f t="shared" si="55"/>
        <v>16.70000000000001</v>
      </c>
      <c r="S251" s="4">
        <f t="shared" si="55"/>
        <v>16.400000000000009</v>
      </c>
      <c r="T251" s="4">
        <f t="shared" si="55"/>
        <v>16.100000000000009</v>
      </c>
      <c r="U251" s="4">
        <f t="shared" si="55"/>
        <v>15.800000000000008</v>
      </c>
      <c r="V251" s="4">
        <f t="shared" si="55"/>
        <v>15.500000000000007</v>
      </c>
      <c r="W251" s="4">
        <f t="shared" si="55"/>
        <v>15.200000000000006</v>
      </c>
      <c r="X251" s="4">
        <f t="shared" si="55"/>
        <v>14.900000000000006</v>
      </c>
      <c r="Y251" s="4">
        <f t="shared" si="55"/>
        <v>14.600000000000005</v>
      </c>
      <c r="Z251" s="4">
        <f t="shared" si="55"/>
        <v>14.300000000000004</v>
      </c>
      <c r="AA251" s="4">
        <f t="shared" si="55"/>
        <v>14.000000000000004</v>
      </c>
      <c r="AB251" s="4">
        <f t="shared" si="55"/>
        <v>13.700000000000003</v>
      </c>
      <c r="AC251" s="4">
        <f t="shared" si="55"/>
        <v>13.400000000000002</v>
      </c>
      <c r="AD251" s="4">
        <f t="shared" si="55"/>
        <v>13.100000000000001</v>
      </c>
      <c r="AE251" s="4">
        <f t="shared" si="55"/>
        <v>12.8</v>
      </c>
      <c r="AF251" s="4">
        <f t="shared" si="55"/>
        <v>12.5</v>
      </c>
      <c r="AG251" s="4">
        <f t="shared" si="55"/>
        <v>12.2</v>
      </c>
      <c r="AH251" s="4">
        <f t="shared" si="55"/>
        <v>11.899999999999999</v>
      </c>
      <c r="AI251" s="4">
        <f t="shared" si="55"/>
        <v>11.599999999999998</v>
      </c>
      <c r="AJ251" s="4">
        <f t="shared" si="55"/>
        <v>11.299999999999997</v>
      </c>
      <c r="AK251" s="4">
        <f t="shared" si="55"/>
        <v>11.099999999999998</v>
      </c>
    </row>
    <row r="252" spans="3:37" outlineLevel="1" x14ac:dyDescent="0.25">
      <c r="C252" s="38">
        <v>22.3</v>
      </c>
      <c r="D252" s="4">
        <f t="shared" si="55"/>
        <v>21.900000000000002</v>
      </c>
      <c r="E252" s="4">
        <f t="shared" si="55"/>
        <v>21.500000000000004</v>
      </c>
      <c r="F252" s="4">
        <f t="shared" si="55"/>
        <v>21.100000000000005</v>
      </c>
      <c r="G252" s="4">
        <f t="shared" si="55"/>
        <v>20.700000000000006</v>
      </c>
      <c r="H252" s="4">
        <f t="shared" si="55"/>
        <v>20.300000000000008</v>
      </c>
      <c r="I252" s="4">
        <f t="shared" si="55"/>
        <v>19.900000000000009</v>
      </c>
      <c r="J252" s="4">
        <f t="shared" si="55"/>
        <v>19.500000000000011</v>
      </c>
      <c r="K252" s="4">
        <f t="shared" si="55"/>
        <v>19.100000000000012</v>
      </c>
      <c r="L252" s="4">
        <f t="shared" si="55"/>
        <v>18.700000000000014</v>
      </c>
      <c r="M252" s="4">
        <f t="shared" si="55"/>
        <v>18.300000000000015</v>
      </c>
      <c r="N252" s="4">
        <f t="shared" si="55"/>
        <v>18.000000000000014</v>
      </c>
      <c r="O252" s="4">
        <f t="shared" si="55"/>
        <v>17.700000000000014</v>
      </c>
      <c r="P252" s="4">
        <f t="shared" si="55"/>
        <v>17.400000000000013</v>
      </c>
      <c r="Q252" s="4">
        <f t="shared" si="55"/>
        <v>17.100000000000012</v>
      </c>
      <c r="R252" s="4">
        <f t="shared" si="55"/>
        <v>16.800000000000011</v>
      </c>
      <c r="S252" s="4">
        <f t="shared" si="55"/>
        <v>16.500000000000011</v>
      </c>
      <c r="T252" s="4">
        <f t="shared" si="55"/>
        <v>16.20000000000001</v>
      </c>
      <c r="U252" s="4">
        <f t="shared" si="55"/>
        <v>15.900000000000009</v>
      </c>
      <c r="V252" s="4">
        <f t="shared" si="55"/>
        <v>15.600000000000009</v>
      </c>
      <c r="W252" s="4">
        <f t="shared" si="55"/>
        <v>15.300000000000008</v>
      </c>
      <c r="X252" s="4">
        <f t="shared" si="55"/>
        <v>15.000000000000007</v>
      </c>
      <c r="Y252" s="4">
        <f t="shared" si="55"/>
        <v>14.700000000000006</v>
      </c>
      <c r="Z252" s="4">
        <f t="shared" si="55"/>
        <v>14.400000000000006</v>
      </c>
      <c r="AA252" s="4">
        <f t="shared" si="55"/>
        <v>14.100000000000005</v>
      </c>
      <c r="AB252" s="4">
        <f t="shared" si="55"/>
        <v>13.800000000000004</v>
      </c>
      <c r="AC252" s="4">
        <f t="shared" si="55"/>
        <v>13.500000000000004</v>
      </c>
      <c r="AD252" s="4">
        <f t="shared" si="55"/>
        <v>13.200000000000003</v>
      </c>
      <c r="AE252" s="4">
        <f t="shared" si="55"/>
        <v>12.900000000000002</v>
      </c>
      <c r="AF252" s="4">
        <f t="shared" si="55"/>
        <v>12.600000000000001</v>
      </c>
      <c r="AG252" s="4">
        <f t="shared" si="55"/>
        <v>12.3</v>
      </c>
      <c r="AH252" s="4">
        <f t="shared" si="55"/>
        <v>12</v>
      </c>
      <c r="AI252" s="4">
        <f t="shared" si="55"/>
        <v>11.7</v>
      </c>
      <c r="AJ252" s="4">
        <f t="shared" si="55"/>
        <v>11.399999999999999</v>
      </c>
      <c r="AK252" s="4">
        <f t="shared" si="55"/>
        <v>11.2</v>
      </c>
    </row>
    <row r="253" spans="3:37" outlineLevel="1" x14ac:dyDescent="0.25">
      <c r="C253" s="38">
        <v>22.4</v>
      </c>
      <c r="D253" s="4">
        <f t="shared" si="55"/>
        <v>22</v>
      </c>
      <c r="E253" s="4">
        <f t="shared" si="55"/>
        <v>21.6</v>
      </c>
      <c r="F253" s="4">
        <f t="shared" si="55"/>
        <v>21.200000000000003</v>
      </c>
      <c r="G253" s="4">
        <f t="shared" si="55"/>
        <v>20.800000000000004</v>
      </c>
      <c r="H253" s="4">
        <f t="shared" si="55"/>
        <v>20.400000000000006</v>
      </c>
      <c r="I253" s="4">
        <f t="shared" si="55"/>
        <v>20.000000000000007</v>
      </c>
      <c r="J253" s="4">
        <f t="shared" si="55"/>
        <v>19.600000000000009</v>
      </c>
      <c r="K253" s="4">
        <f t="shared" si="55"/>
        <v>19.20000000000001</v>
      </c>
      <c r="L253" s="4">
        <f t="shared" si="55"/>
        <v>18.800000000000011</v>
      </c>
      <c r="M253" s="4">
        <f t="shared" si="55"/>
        <v>18.400000000000013</v>
      </c>
      <c r="N253" s="4">
        <f t="shared" si="55"/>
        <v>18.100000000000012</v>
      </c>
      <c r="O253" s="4">
        <f t="shared" si="55"/>
        <v>17.800000000000011</v>
      </c>
      <c r="P253" s="4">
        <f t="shared" si="55"/>
        <v>17.500000000000011</v>
      </c>
      <c r="Q253" s="4">
        <f t="shared" si="55"/>
        <v>17.20000000000001</v>
      </c>
      <c r="R253" s="4">
        <f t="shared" si="55"/>
        <v>16.900000000000009</v>
      </c>
      <c r="S253" s="4">
        <f t="shared" si="55"/>
        <v>16.600000000000009</v>
      </c>
      <c r="T253" s="4">
        <f t="shared" si="55"/>
        <v>16.300000000000008</v>
      </c>
      <c r="U253" s="4">
        <f t="shared" si="55"/>
        <v>16.000000000000007</v>
      </c>
      <c r="V253" s="4">
        <f t="shared" si="55"/>
        <v>15.700000000000006</v>
      </c>
      <c r="W253" s="4">
        <f t="shared" si="55"/>
        <v>15.400000000000006</v>
      </c>
      <c r="X253" s="4">
        <f t="shared" si="55"/>
        <v>15.100000000000005</v>
      </c>
      <c r="Y253" s="4">
        <f t="shared" si="55"/>
        <v>14.800000000000004</v>
      </c>
      <c r="Z253" s="4">
        <f t="shared" si="55"/>
        <v>14.500000000000004</v>
      </c>
      <c r="AA253" s="4">
        <f t="shared" si="55"/>
        <v>14.200000000000003</v>
      </c>
      <c r="AB253" s="4">
        <f t="shared" si="55"/>
        <v>13.900000000000002</v>
      </c>
      <c r="AC253" s="4">
        <f t="shared" si="55"/>
        <v>13.600000000000001</v>
      </c>
      <c r="AD253" s="4">
        <f t="shared" si="55"/>
        <v>13.3</v>
      </c>
      <c r="AE253" s="4">
        <f t="shared" si="55"/>
        <v>13</v>
      </c>
      <c r="AF253" s="4">
        <f t="shared" si="55"/>
        <v>12.7</v>
      </c>
      <c r="AG253" s="4">
        <f t="shared" si="55"/>
        <v>12.399999999999999</v>
      </c>
      <c r="AH253" s="4">
        <f t="shared" si="55"/>
        <v>12.099999999999998</v>
      </c>
      <c r="AI253" s="4">
        <f t="shared" si="55"/>
        <v>11.799999999999997</v>
      </c>
      <c r="AJ253" s="4">
        <f t="shared" si="55"/>
        <v>11.499999999999996</v>
      </c>
      <c r="AK253" s="4">
        <f t="shared" si="55"/>
        <v>11.199999999999996</v>
      </c>
    </row>
    <row r="254" spans="3:37" outlineLevel="1" x14ac:dyDescent="0.25">
      <c r="C254" s="38">
        <v>22.5</v>
      </c>
      <c r="D254" s="4">
        <f t="shared" si="55"/>
        <v>22.1</v>
      </c>
      <c r="E254" s="4">
        <f t="shared" si="55"/>
        <v>21.700000000000003</v>
      </c>
      <c r="F254" s="4">
        <f t="shared" si="55"/>
        <v>21.300000000000004</v>
      </c>
      <c r="G254" s="4">
        <f t="shared" si="55"/>
        <v>20.900000000000006</v>
      </c>
      <c r="H254" s="4">
        <f t="shared" si="55"/>
        <v>20.500000000000007</v>
      </c>
      <c r="I254" s="4">
        <f t="shared" si="55"/>
        <v>20.100000000000009</v>
      </c>
      <c r="J254" s="4">
        <f t="shared" si="55"/>
        <v>19.70000000000001</v>
      </c>
      <c r="K254" s="4">
        <f t="shared" si="55"/>
        <v>19.300000000000011</v>
      </c>
      <c r="L254" s="4">
        <f t="shared" si="55"/>
        <v>18.900000000000013</v>
      </c>
      <c r="M254" s="4">
        <f t="shared" si="55"/>
        <v>18.500000000000014</v>
      </c>
      <c r="N254" s="4">
        <f t="shared" si="55"/>
        <v>18.100000000000016</v>
      </c>
      <c r="O254" s="4">
        <f t="shared" si="55"/>
        <v>17.800000000000015</v>
      </c>
      <c r="P254" s="4">
        <f t="shared" si="55"/>
        <v>17.500000000000014</v>
      </c>
      <c r="Q254" s="4">
        <f t="shared" si="55"/>
        <v>17.200000000000014</v>
      </c>
      <c r="R254" s="4">
        <f t="shared" si="55"/>
        <v>16.900000000000013</v>
      </c>
      <c r="S254" s="4">
        <f t="shared" si="55"/>
        <v>16.600000000000012</v>
      </c>
      <c r="T254" s="4">
        <f t="shared" si="55"/>
        <v>16.300000000000011</v>
      </c>
      <c r="U254" s="4">
        <f t="shared" si="55"/>
        <v>16.000000000000011</v>
      </c>
      <c r="V254" s="4">
        <f t="shared" si="55"/>
        <v>15.70000000000001</v>
      </c>
      <c r="W254" s="4">
        <f t="shared" si="55"/>
        <v>15.400000000000009</v>
      </c>
      <c r="X254" s="4">
        <f t="shared" si="55"/>
        <v>15.100000000000009</v>
      </c>
      <c r="Y254" s="4">
        <f t="shared" si="55"/>
        <v>14.800000000000008</v>
      </c>
      <c r="Z254" s="4">
        <f t="shared" si="55"/>
        <v>14.500000000000007</v>
      </c>
      <c r="AA254" s="4">
        <f t="shared" si="55"/>
        <v>14.200000000000006</v>
      </c>
      <c r="AB254" s="4">
        <f t="shared" si="55"/>
        <v>13.900000000000006</v>
      </c>
      <c r="AC254" s="4">
        <f t="shared" si="55"/>
        <v>13.600000000000005</v>
      </c>
      <c r="AD254" s="4">
        <f t="shared" si="55"/>
        <v>13.300000000000004</v>
      </c>
      <c r="AE254" s="4">
        <f t="shared" si="55"/>
        <v>13.000000000000004</v>
      </c>
      <c r="AF254" s="4">
        <f t="shared" si="55"/>
        <v>12.700000000000003</v>
      </c>
      <c r="AG254" s="4">
        <f t="shared" si="55"/>
        <v>12.400000000000002</v>
      </c>
      <c r="AH254" s="4">
        <f t="shared" si="55"/>
        <v>12.100000000000001</v>
      </c>
      <c r="AI254" s="4">
        <f t="shared" si="55"/>
        <v>11.8</v>
      </c>
      <c r="AJ254" s="4">
        <f t="shared" si="55"/>
        <v>11.5</v>
      </c>
      <c r="AK254" s="4">
        <f t="shared" si="55"/>
        <v>11.2</v>
      </c>
    </row>
    <row r="255" spans="3:37" outlineLevel="1" x14ac:dyDescent="0.25">
      <c r="C255" s="38">
        <v>22.6</v>
      </c>
      <c r="D255" s="4">
        <f t="shared" si="55"/>
        <v>22.200000000000003</v>
      </c>
      <c r="E255" s="4">
        <f t="shared" si="55"/>
        <v>21.800000000000004</v>
      </c>
      <c r="F255" s="4">
        <f t="shared" si="55"/>
        <v>21.400000000000006</v>
      </c>
      <c r="G255" s="4">
        <f t="shared" si="55"/>
        <v>21.000000000000007</v>
      </c>
      <c r="H255" s="4">
        <f t="shared" si="55"/>
        <v>20.600000000000009</v>
      </c>
      <c r="I255" s="4">
        <f t="shared" si="55"/>
        <v>20.20000000000001</v>
      </c>
      <c r="J255" s="4">
        <f t="shared" si="55"/>
        <v>19.800000000000011</v>
      </c>
      <c r="K255" s="4">
        <f t="shared" si="55"/>
        <v>19.400000000000013</v>
      </c>
      <c r="L255" s="4">
        <f t="shared" si="55"/>
        <v>19.000000000000014</v>
      </c>
      <c r="M255" s="4">
        <f t="shared" si="55"/>
        <v>18.600000000000016</v>
      </c>
      <c r="N255" s="4">
        <f t="shared" si="55"/>
        <v>18.200000000000017</v>
      </c>
      <c r="O255" s="4">
        <f t="shared" si="55"/>
        <v>17.900000000000016</v>
      </c>
      <c r="P255" s="4">
        <f t="shared" si="55"/>
        <v>17.600000000000016</v>
      </c>
      <c r="Q255" s="4">
        <f t="shared" si="55"/>
        <v>17.300000000000015</v>
      </c>
      <c r="R255" s="4">
        <f t="shared" si="55"/>
        <v>17.000000000000014</v>
      </c>
      <c r="S255" s="4">
        <f t="shared" si="55"/>
        <v>16.700000000000014</v>
      </c>
      <c r="T255" s="4">
        <f t="shared" si="55"/>
        <v>16.400000000000013</v>
      </c>
      <c r="U255" s="4">
        <f t="shared" si="55"/>
        <v>16.100000000000012</v>
      </c>
      <c r="V255" s="4">
        <f t="shared" si="55"/>
        <v>15.800000000000011</v>
      </c>
      <c r="W255" s="4">
        <f t="shared" si="55"/>
        <v>15.500000000000011</v>
      </c>
      <c r="X255" s="4">
        <f t="shared" si="55"/>
        <v>15.20000000000001</v>
      </c>
      <c r="Y255" s="4">
        <f t="shared" si="55"/>
        <v>14.900000000000009</v>
      </c>
      <c r="Z255" s="4">
        <f t="shared" si="55"/>
        <v>14.600000000000009</v>
      </c>
      <c r="AA255" s="4">
        <f t="shared" si="55"/>
        <v>14.300000000000008</v>
      </c>
      <c r="AB255" s="4">
        <f t="shared" si="55"/>
        <v>14.000000000000007</v>
      </c>
      <c r="AC255" s="4">
        <f t="shared" si="55"/>
        <v>13.700000000000006</v>
      </c>
      <c r="AD255" s="4">
        <f t="shared" si="55"/>
        <v>13.400000000000006</v>
      </c>
      <c r="AE255" s="4">
        <f t="shared" si="55"/>
        <v>13.100000000000005</v>
      </c>
      <c r="AF255" s="4">
        <f t="shared" si="55"/>
        <v>12.800000000000004</v>
      </c>
      <c r="AG255" s="4">
        <f t="shared" si="55"/>
        <v>12.500000000000004</v>
      </c>
      <c r="AH255" s="4">
        <f t="shared" si="55"/>
        <v>12.200000000000003</v>
      </c>
      <c r="AI255" s="4">
        <f t="shared" si="55"/>
        <v>11.900000000000002</v>
      </c>
      <c r="AJ255" s="4">
        <f t="shared" si="55"/>
        <v>11.600000000000001</v>
      </c>
      <c r="AK255" s="4">
        <f t="shared" si="55"/>
        <v>11.3</v>
      </c>
    </row>
    <row r="256" spans="3:37" outlineLevel="1" x14ac:dyDescent="0.25">
      <c r="C256" s="38">
        <v>22.7</v>
      </c>
      <c r="D256" s="4">
        <f t="shared" si="55"/>
        <v>22.3</v>
      </c>
      <c r="E256" s="4">
        <f t="shared" si="55"/>
        <v>21.900000000000002</v>
      </c>
      <c r="F256" s="4">
        <f t="shared" si="55"/>
        <v>21.500000000000004</v>
      </c>
      <c r="G256" s="4">
        <f t="shared" si="55"/>
        <v>21.100000000000005</v>
      </c>
      <c r="H256" s="4">
        <f t="shared" si="55"/>
        <v>20.700000000000006</v>
      </c>
      <c r="I256" s="4">
        <f t="shared" si="55"/>
        <v>20.300000000000008</v>
      </c>
      <c r="J256" s="4">
        <f t="shared" si="55"/>
        <v>19.900000000000009</v>
      </c>
      <c r="K256" s="4">
        <f t="shared" si="55"/>
        <v>19.500000000000011</v>
      </c>
      <c r="L256" s="4">
        <f t="shared" si="55"/>
        <v>19.100000000000012</v>
      </c>
      <c r="M256" s="4">
        <f t="shared" si="55"/>
        <v>18.700000000000014</v>
      </c>
      <c r="N256" s="4">
        <f t="shared" si="55"/>
        <v>18.300000000000015</v>
      </c>
      <c r="O256" s="4">
        <f t="shared" si="55"/>
        <v>18.000000000000014</v>
      </c>
      <c r="P256" s="4">
        <f t="shared" si="55"/>
        <v>17.700000000000014</v>
      </c>
      <c r="Q256" s="4">
        <f t="shared" si="55"/>
        <v>17.400000000000013</v>
      </c>
      <c r="R256" s="4">
        <f t="shared" si="55"/>
        <v>17.100000000000012</v>
      </c>
      <c r="S256" s="4">
        <f t="shared" si="55"/>
        <v>16.800000000000011</v>
      </c>
      <c r="T256" s="4">
        <f t="shared" si="55"/>
        <v>16.500000000000011</v>
      </c>
      <c r="U256" s="4">
        <f t="shared" ref="U256:AK256" si="56">(IF(T256&lt;=4.4,T256-$E$6,IF(AND(T256&gt;=4.5,T256&lt;=11.4),T256-$E$7,IF(AND(T256&gt;=11.5,T256&lt;=18.4),T256-$E$8,IF(AND(T256&gt;=18.5,T256&lt;=26.4),T256-$E$9,IF(AND(T256&gt;=26.4,T256&lt;=36),T256-$E$10,IF(T256&gt;=37,T256-$E$11)))))))</f>
        <v>16.20000000000001</v>
      </c>
      <c r="V256" s="4">
        <f t="shared" si="56"/>
        <v>15.900000000000009</v>
      </c>
      <c r="W256" s="4">
        <f t="shared" si="56"/>
        <v>15.600000000000009</v>
      </c>
      <c r="X256" s="4">
        <f t="shared" si="56"/>
        <v>15.300000000000008</v>
      </c>
      <c r="Y256" s="4">
        <f t="shared" si="56"/>
        <v>15.000000000000007</v>
      </c>
      <c r="Z256" s="4">
        <f t="shared" si="56"/>
        <v>14.700000000000006</v>
      </c>
      <c r="AA256" s="4">
        <f t="shared" si="56"/>
        <v>14.400000000000006</v>
      </c>
      <c r="AB256" s="4">
        <f t="shared" si="56"/>
        <v>14.100000000000005</v>
      </c>
      <c r="AC256" s="4">
        <f t="shared" si="56"/>
        <v>13.800000000000004</v>
      </c>
      <c r="AD256" s="4">
        <f t="shared" si="56"/>
        <v>13.500000000000004</v>
      </c>
      <c r="AE256" s="4">
        <f t="shared" si="56"/>
        <v>13.200000000000003</v>
      </c>
      <c r="AF256" s="4">
        <f t="shared" si="56"/>
        <v>12.900000000000002</v>
      </c>
      <c r="AG256" s="4">
        <f t="shared" si="56"/>
        <v>12.600000000000001</v>
      </c>
      <c r="AH256" s="4">
        <f t="shared" si="56"/>
        <v>12.3</v>
      </c>
      <c r="AI256" s="4">
        <f t="shared" si="56"/>
        <v>12</v>
      </c>
      <c r="AJ256" s="4">
        <f t="shared" si="56"/>
        <v>11.7</v>
      </c>
      <c r="AK256" s="4">
        <f t="shared" si="56"/>
        <v>11.399999999999999</v>
      </c>
    </row>
    <row r="257" spans="3:37" outlineLevel="1" x14ac:dyDescent="0.25">
      <c r="C257" s="38">
        <v>22.8</v>
      </c>
      <c r="D257" s="4">
        <f t="shared" ref="D257:AK264" si="57">(IF(C257&lt;=4.4,C257-$E$6,IF(AND(C257&gt;=4.5,C257&lt;=11.4),C257-$E$7,IF(AND(C257&gt;=11.5,C257&lt;=18.4),C257-$E$8,IF(AND(C257&gt;=18.5,C257&lt;=26.4),C257-$E$9,IF(AND(C257&gt;=26.4,C257&lt;=36),C257-$E$10,IF(C257&gt;=37,C257-$E$11)))))))</f>
        <v>22.400000000000002</v>
      </c>
      <c r="E257" s="4">
        <f t="shared" si="57"/>
        <v>22.000000000000004</v>
      </c>
      <c r="F257" s="4">
        <f t="shared" si="57"/>
        <v>21.600000000000005</v>
      </c>
      <c r="G257" s="4">
        <f t="shared" si="57"/>
        <v>21.200000000000006</v>
      </c>
      <c r="H257" s="4">
        <f t="shared" si="57"/>
        <v>20.800000000000008</v>
      </c>
      <c r="I257" s="4">
        <f t="shared" si="57"/>
        <v>20.400000000000009</v>
      </c>
      <c r="J257" s="4">
        <f t="shared" si="57"/>
        <v>20.000000000000011</v>
      </c>
      <c r="K257" s="4">
        <f t="shared" si="57"/>
        <v>19.600000000000012</v>
      </c>
      <c r="L257" s="4">
        <f t="shared" si="57"/>
        <v>19.200000000000014</v>
      </c>
      <c r="M257" s="4">
        <f t="shared" si="57"/>
        <v>18.800000000000015</v>
      </c>
      <c r="N257" s="4">
        <f t="shared" si="57"/>
        <v>18.400000000000016</v>
      </c>
      <c r="O257" s="4">
        <f t="shared" si="57"/>
        <v>18.100000000000016</v>
      </c>
      <c r="P257" s="4">
        <f t="shared" si="57"/>
        <v>17.800000000000015</v>
      </c>
      <c r="Q257" s="4">
        <f t="shared" si="57"/>
        <v>17.500000000000014</v>
      </c>
      <c r="R257" s="4">
        <f t="shared" si="57"/>
        <v>17.200000000000014</v>
      </c>
      <c r="S257" s="4">
        <f t="shared" si="57"/>
        <v>16.900000000000013</v>
      </c>
      <c r="T257" s="4">
        <f t="shared" si="57"/>
        <v>16.600000000000012</v>
      </c>
      <c r="U257" s="4">
        <f t="shared" si="57"/>
        <v>16.300000000000011</v>
      </c>
      <c r="V257" s="4">
        <f t="shared" si="57"/>
        <v>16.000000000000011</v>
      </c>
      <c r="W257" s="4">
        <f t="shared" si="57"/>
        <v>15.70000000000001</v>
      </c>
      <c r="X257" s="4">
        <f t="shared" si="57"/>
        <v>15.400000000000009</v>
      </c>
      <c r="Y257" s="4">
        <f t="shared" si="57"/>
        <v>15.100000000000009</v>
      </c>
      <c r="Z257" s="4">
        <f t="shared" si="57"/>
        <v>14.800000000000008</v>
      </c>
      <c r="AA257" s="4">
        <f t="shared" si="57"/>
        <v>14.500000000000007</v>
      </c>
      <c r="AB257" s="4">
        <f t="shared" si="57"/>
        <v>14.200000000000006</v>
      </c>
      <c r="AC257" s="4">
        <f t="shared" si="57"/>
        <v>13.900000000000006</v>
      </c>
      <c r="AD257" s="4">
        <f t="shared" si="57"/>
        <v>13.600000000000005</v>
      </c>
      <c r="AE257" s="4">
        <f t="shared" si="57"/>
        <v>13.300000000000004</v>
      </c>
      <c r="AF257" s="4">
        <f t="shared" si="57"/>
        <v>13.000000000000004</v>
      </c>
      <c r="AG257" s="4">
        <f t="shared" si="57"/>
        <v>12.700000000000003</v>
      </c>
      <c r="AH257" s="4">
        <f t="shared" si="57"/>
        <v>12.400000000000002</v>
      </c>
      <c r="AI257" s="4">
        <f t="shared" si="57"/>
        <v>12.100000000000001</v>
      </c>
      <c r="AJ257" s="4">
        <f t="shared" si="57"/>
        <v>11.8</v>
      </c>
      <c r="AK257" s="4">
        <f t="shared" si="57"/>
        <v>11.5</v>
      </c>
    </row>
    <row r="258" spans="3:37" outlineLevel="1" x14ac:dyDescent="0.25">
      <c r="C258" s="38">
        <v>22.9</v>
      </c>
      <c r="D258" s="4">
        <f t="shared" si="57"/>
        <v>22.5</v>
      </c>
      <c r="E258" s="4">
        <f t="shared" si="57"/>
        <v>22.1</v>
      </c>
      <c r="F258" s="4">
        <f t="shared" si="57"/>
        <v>21.700000000000003</v>
      </c>
      <c r="G258" s="4">
        <f t="shared" si="57"/>
        <v>21.300000000000004</v>
      </c>
      <c r="H258" s="4">
        <f t="shared" si="57"/>
        <v>20.900000000000006</v>
      </c>
      <c r="I258" s="4">
        <f t="shared" si="57"/>
        <v>20.500000000000007</v>
      </c>
      <c r="J258" s="4">
        <f t="shared" si="57"/>
        <v>20.100000000000009</v>
      </c>
      <c r="K258" s="4">
        <f t="shared" si="57"/>
        <v>19.70000000000001</v>
      </c>
      <c r="L258" s="4">
        <f t="shared" si="57"/>
        <v>19.300000000000011</v>
      </c>
      <c r="M258" s="4">
        <f t="shared" si="57"/>
        <v>18.900000000000013</v>
      </c>
      <c r="N258" s="4">
        <f t="shared" si="57"/>
        <v>18.500000000000014</v>
      </c>
      <c r="O258" s="4">
        <f t="shared" si="57"/>
        <v>18.100000000000016</v>
      </c>
      <c r="P258" s="4">
        <f t="shared" si="57"/>
        <v>17.800000000000015</v>
      </c>
      <c r="Q258" s="4">
        <f t="shared" si="57"/>
        <v>17.500000000000014</v>
      </c>
      <c r="R258" s="4">
        <f t="shared" si="57"/>
        <v>17.200000000000014</v>
      </c>
      <c r="S258" s="4">
        <f t="shared" si="57"/>
        <v>16.900000000000013</v>
      </c>
      <c r="T258" s="4">
        <f t="shared" si="57"/>
        <v>16.600000000000012</v>
      </c>
      <c r="U258" s="4">
        <f t="shared" si="57"/>
        <v>16.300000000000011</v>
      </c>
      <c r="V258" s="4">
        <f t="shared" si="57"/>
        <v>16.000000000000011</v>
      </c>
      <c r="W258" s="4">
        <f t="shared" si="57"/>
        <v>15.70000000000001</v>
      </c>
      <c r="X258" s="4">
        <f t="shared" si="57"/>
        <v>15.400000000000009</v>
      </c>
      <c r="Y258" s="4">
        <f t="shared" si="57"/>
        <v>15.100000000000009</v>
      </c>
      <c r="Z258" s="4">
        <f t="shared" si="57"/>
        <v>14.800000000000008</v>
      </c>
      <c r="AA258" s="4">
        <f t="shared" si="57"/>
        <v>14.500000000000007</v>
      </c>
      <c r="AB258" s="4">
        <f t="shared" si="57"/>
        <v>14.200000000000006</v>
      </c>
      <c r="AC258" s="4">
        <f t="shared" si="57"/>
        <v>13.900000000000006</v>
      </c>
      <c r="AD258" s="4">
        <f t="shared" si="57"/>
        <v>13.600000000000005</v>
      </c>
      <c r="AE258" s="4">
        <f t="shared" si="57"/>
        <v>13.300000000000004</v>
      </c>
      <c r="AF258" s="4">
        <f t="shared" si="57"/>
        <v>13.000000000000004</v>
      </c>
      <c r="AG258" s="4">
        <f t="shared" si="57"/>
        <v>12.700000000000003</v>
      </c>
      <c r="AH258" s="4">
        <f t="shared" si="57"/>
        <v>12.400000000000002</v>
      </c>
      <c r="AI258" s="4">
        <f t="shared" si="57"/>
        <v>12.100000000000001</v>
      </c>
      <c r="AJ258" s="4">
        <f t="shared" si="57"/>
        <v>11.8</v>
      </c>
      <c r="AK258" s="4">
        <f t="shared" si="57"/>
        <v>11.5</v>
      </c>
    </row>
    <row r="259" spans="3:37" outlineLevel="1" x14ac:dyDescent="0.25">
      <c r="C259" s="38">
        <v>23</v>
      </c>
      <c r="D259" s="4">
        <f t="shared" si="57"/>
        <v>22.6</v>
      </c>
      <c r="E259" s="4">
        <f t="shared" si="57"/>
        <v>22.200000000000003</v>
      </c>
      <c r="F259" s="4">
        <f t="shared" si="57"/>
        <v>21.800000000000004</v>
      </c>
      <c r="G259" s="4">
        <f t="shared" si="57"/>
        <v>21.400000000000006</v>
      </c>
      <c r="H259" s="4">
        <f t="shared" si="57"/>
        <v>21.000000000000007</v>
      </c>
      <c r="I259" s="4">
        <f t="shared" si="57"/>
        <v>20.600000000000009</v>
      </c>
      <c r="J259" s="4">
        <f t="shared" si="57"/>
        <v>20.20000000000001</v>
      </c>
      <c r="K259" s="4">
        <f t="shared" si="57"/>
        <v>19.800000000000011</v>
      </c>
      <c r="L259" s="4">
        <f t="shared" si="57"/>
        <v>19.400000000000013</v>
      </c>
      <c r="M259" s="4">
        <f t="shared" si="57"/>
        <v>19.000000000000014</v>
      </c>
      <c r="N259" s="4">
        <f t="shared" si="57"/>
        <v>18.600000000000016</v>
      </c>
      <c r="O259" s="4">
        <f t="shared" si="57"/>
        <v>18.200000000000017</v>
      </c>
      <c r="P259" s="4">
        <f t="shared" si="57"/>
        <v>17.900000000000016</v>
      </c>
      <c r="Q259" s="4">
        <f t="shared" si="57"/>
        <v>17.600000000000016</v>
      </c>
      <c r="R259" s="4">
        <f t="shared" si="57"/>
        <v>17.300000000000015</v>
      </c>
      <c r="S259" s="4">
        <f t="shared" si="57"/>
        <v>17.000000000000014</v>
      </c>
      <c r="T259" s="4">
        <f t="shared" si="57"/>
        <v>16.700000000000014</v>
      </c>
      <c r="U259" s="4">
        <f t="shared" si="57"/>
        <v>16.400000000000013</v>
      </c>
      <c r="V259" s="4">
        <f t="shared" si="57"/>
        <v>16.100000000000012</v>
      </c>
      <c r="W259" s="4">
        <f t="shared" si="57"/>
        <v>15.800000000000011</v>
      </c>
      <c r="X259" s="4">
        <f t="shared" si="57"/>
        <v>15.500000000000011</v>
      </c>
      <c r="Y259" s="4">
        <f t="shared" si="57"/>
        <v>15.20000000000001</v>
      </c>
      <c r="Z259" s="4">
        <f t="shared" si="57"/>
        <v>14.900000000000009</v>
      </c>
      <c r="AA259" s="4">
        <f t="shared" si="57"/>
        <v>14.600000000000009</v>
      </c>
      <c r="AB259" s="4">
        <f t="shared" si="57"/>
        <v>14.300000000000008</v>
      </c>
      <c r="AC259" s="4">
        <f t="shared" si="57"/>
        <v>14.000000000000007</v>
      </c>
      <c r="AD259" s="4">
        <f t="shared" si="57"/>
        <v>13.700000000000006</v>
      </c>
      <c r="AE259" s="4">
        <f t="shared" si="57"/>
        <v>13.400000000000006</v>
      </c>
      <c r="AF259" s="4">
        <f t="shared" si="57"/>
        <v>13.100000000000005</v>
      </c>
      <c r="AG259" s="4">
        <f t="shared" si="57"/>
        <v>12.800000000000004</v>
      </c>
      <c r="AH259" s="4">
        <f t="shared" si="57"/>
        <v>12.500000000000004</v>
      </c>
      <c r="AI259" s="4">
        <f t="shared" si="57"/>
        <v>12.200000000000003</v>
      </c>
      <c r="AJ259" s="4">
        <f t="shared" si="57"/>
        <v>11.900000000000002</v>
      </c>
      <c r="AK259" s="4">
        <f t="shared" si="57"/>
        <v>11.600000000000001</v>
      </c>
    </row>
    <row r="260" spans="3:37" outlineLevel="1" x14ac:dyDescent="0.25">
      <c r="C260" s="38">
        <v>23.1</v>
      </c>
      <c r="D260" s="4">
        <f t="shared" si="57"/>
        <v>22.700000000000003</v>
      </c>
      <c r="E260" s="4">
        <f t="shared" si="57"/>
        <v>22.300000000000004</v>
      </c>
      <c r="F260" s="4">
        <f t="shared" si="57"/>
        <v>21.900000000000006</v>
      </c>
      <c r="G260" s="4">
        <f t="shared" si="57"/>
        <v>21.500000000000007</v>
      </c>
      <c r="H260" s="4">
        <f t="shared" si="57"/>
        <v>21.100000000000009</v>
      </c>
      <c r="I260" s="4">
        <f t="shared" si="57"/>
        <v>20.70000000000001</v>
      </c>
      <c r="J260" s="4">
        <f t="shared" si="57"/>
        <v>20.300000000000011</v>
      </c>
      <c r="K260" s="4">
        <f t="shared" si="57"/>
        <v>19.900000000000013</v>
      </c>
      <c r="L260" s="4">
        <f t="shared" si="57"/>
        <v>19.500000000000014</v>
      </c>
      <c r="M260" s="4">
        <f t="shared" si="57"/>
        <v>19.100000000000016</v>
      </c>
      <c r="N260" s="4">
        <f t="shared" si="57"/>
        <v>18.700000000000017</v>
      </c>
      <c r="O260" s="4">
        <f t="shared" si="57"/>
        <v>18.300000000000018</v>
      </c>
      <c r="P260" s="4">
        <f t="shared" si="57"/>
        <v>18.000000000000018</v>
      </c>
      <c r="Q260" s="4">
        <f t="shared" si="57"/>
        <v>17.700000000000017</v>
      </c>
      <c r="R260" s="4">
        <f t="shared" si="57"/>
        <v>17.400000000000016</v>
      </c>
      <c r="S260" s="4">
        <f t="shared" si="57"/>
        <v>17.100000000000016</v>
      </c>
      <c r="T260" s="4">
        <f t="shared" si="57"/>
        <v>16.800000000000015</v>
      </c>
      <c r="U260" s="4">
        <f t="shared" si="57"/>
        <v>16.500000000000014</v>
      </c>
      <c r="V260" s="4">
        <f t="shared" si="57"/>
        <v>16.200000000000014</v>
      </c>
      <c r="W260" s="4">
        <f t="shared" si="57"/>
        <v>15.900000000000013</v>
      </c>
      <c r="X260" s="4">
        <f t="shared" si="57"/>
        <v>15.600000000000012</v>
      </c>
      <c r="Y260" s="4">
        <f t="shared" si="57"/>
        <v>15.300000000000011</v>
      </c>
      <c r="Z260" s="4">
        <f t="shared" si="57"/>
        <v>15.000000000000011</v>
      </c>
      <c r="AA260" s="4">
        <f t="shared" si="57"/>
        <v>14.70000000000001</v>
      </c>
      <c r="AB260" s="4">
        <f t="shared" si="57"/>
        <v>14.400000000000009</v>
      </c>
      <c r="AC260" s="4">
        <f t="shared" si="57"/>
        <v>14.100000000000009</v>
      </c>
      <c r="AD260" s="4">
        <f t="shared" si="57"/>
        <v>13.800000000000008</v>
      </c>
      <c r="AE260" s="4">
        <f t="shared" si="57"/>
        <v>13.500000000000007</v>
      </c>
      <c r="AF260" s="4">
        <f t="shared" si="57"/>
        <v>13.200000000000006</v>
      </c>
      <c r="AG260" s="4">
        <f t="shared" si="57"/>
        <v>12.900000000000006</v>
      </c>
      <c r="AH260" s="4">
        <f t="shared" si="57"/>
        <v>12.600000000000005</v>
      </c>
      <c r="AI260" s="4">
        <f t="shared" si="57"/>
        <v>12.300000000000004</v>
      </c>
      <c r="AJ260" s="4">
        <f t="shared" si="57"/>
        <v>12.000000000000004</v>
      </c>
      <c r="AK260" s="4">
        <f t="shared" si="57"/>
        <v>11.700000000000003</v>
      </c>
    </row>
    <row r="261" spans="3:37" outlineLevel="1" x14ac:dyDescent="0.25">
      <c r="C261" s="38">
        <v>23.2</v>
      </c>
      <c r="D261" s="4">
        <f t="shared" si="57"/>
        <v>22.8</v>
      </c>
      <c r="E261" s="4">
        <f t="shared" si="57"/>
        <v>22.400000000000002</v>
      </c>
      <c r="F261" s="4">
        <f t="shared" si="57"/>
        <v>22.000000000000004</v>
      </c>
      <c r="G261" s="4">
        <f t="shared" si="57"/>
        <v>21.600000000000005</v>
      </c>
      <c r="H261" s="4">
        <f t="shared" si="57"/>
        <v>21.200000000000006</v>
      </c>
      <c r="I261" s="4">
        <f t="shared" si="57"/>
        <v>20.800000000000008</v>
      </c>
      <c r="J261" s="4">
        <f t="shared" si="57"/>
        <v>20.400000000000009</v>
      </c>
      <c r="K261" s="4">
        <f t="shared" si="57"/>
        <v>20.000000000000011</v>
      </c>
      <c r="L261" s="4">
        <f t="shared" si="57"/>
        <v>19.600000000000012</v>
      </c>
      <c r="M261" s="4">
        <f t="shared" si="57"/>
        <v>19.200000000000014</v>
      </c>
      <c r="N261" s="4">
        <f t="shared" si="57"/>
        <v>18.800000000000015</v>
      </c>
      <c r="O261" s="4">
        <f t="shared" si="57"/>
        <v>18.400000000000016</v>
      </c>
      <c r="P261" s="4">
        <f t="shared" si="57"/>
        <v>18.100000000000016</v>
      </c>
      <c r="Q261" s="4">
        <f t="shared" si="57"/>
        <v>17.800000000000015</v>
      </c>
      <c r="R261" s="4">
        <f t="shared" si="57"/>
        <v>17.500000000000014</v>
      </c>
      <c r="S261" s="4">
        <f t="shared" si="57"/>
        <v>17.200000000000014</v>
      </c>
      <c r="T261" s="4">
        <f t="shared" si="57"/>
        <v>16.900000000000013</v>
      </c>
      <c r="U261" s="4">
        <f t="shared" si="57"/>
        <v>16.600000000000012</v>
      </c>
      <c r="V261" s="4">
        <f t="shared" si="57"/>
        <v>16.300000000000011</v>
      </c>
      <c r="W261" s="4">
        <f t="shared" si="57"/>
        <v>16.000000000000011</v>
      </c>
      <c r="X261" s="4">
        <f t="shared" si="57"/>
        <v>15.70000000000001</v>
      </c>
      <c r="Y261" s="4">
        <f t="shared" si="57"/>
        <v>15.400000000000009</v>
      </c>
      <c r="Z261" s="4">
        <f t="shared" si="57"/>
        <v>15.100000000000009</v>
      </c>
      <c r="AA261" s="4">
        <f t="shared" si="57"/>
        <v>14.800000000000008</v>
      </c>
      <c r="AB261" s="4">
        <f t="shared" si="57"/>
        <v>14.500000000000007</v>
      </c>
      <c r="AC261" s="4">
        <f t="shared" si="57"/>
        <v>14.200000000000006</v>
      </c>
      <c r="AD261" s="4">
        <f t="shared" si="57"/>
        <v>13.900000000000006</v>
      </c>
      <c r="AE261" s="4">
        <f t="shared" si="57"/>
        <v>13.600000000000005</v>
      </c>
      <c r="AF261" s="4">
        <f t="shared" si="57"/>
        <v>13.300000000000004</v>
      </c>
      <c r="AG261" s="4">
        <f t="shared" si="57"/>
        <v>13.000000000000004</v>
      </c>
      <c r="AH261" s="4">
        <f t="shared" si="57"/>
        <v>12.700000000000003</v>
      </c>
      <c r="AI261" s="4">
        <f t="shared" si="57"/>
        <v>12.400000000000002</v>
      </c>
      <c r="AJ261" s="4">
        <f t="shared" si="57"/>
        <v>12.100000000000001</v>
      </c>
      <c r="AK261" s="4">
        <f t="shared" si="57"/>
        <v>11.8</v>
      </c>
    </row>
    <row r="262" spans="3:37" outlineLevel="1" x14ac:dyDescent="0.25">
      <c r="C262" s="38">
        <v>23.3</v>
      </c>
      <c r="D262" s="4">
        <f t="shared" si="57"/>
        <v>22.900000000000002</v>
      </c>
      <c r="E262" s="4">
        <f t="shared" si="57"/>
        <v>22.500000000000004</v>
      </c>
      <c r="F262" s="4">
        <f t="shared" si="57"/>
        <v>22.100000000000005</v>
      </c>
      <c r="G262" s="4">
        <f t="shared" si="57"/>
        <v>21.700000000000006</v>
      </c>
      <c r="H262" s="4">
        <f t="shared" si="57"/>
        <v>21.300000000000008</v>
      </c>
      <c r="I262" s="4">
        <f t="shared" si="57"/>
        <v>20.900000000000009</v>
      </c>
      <c r="J262" s="4">
        <f t="shared" si="57"/>
        <v>20.500000000000011</v>
      </c>
      <c r="K262" s="4">
        <f t="shared" si="57"/>
        <v>20.100000000000012</v>
      </c>
      <c r="L262" s="4">
        <f t="shared" si="57"/>
        <v>19.700000000000014</v>
      </c>
      <c r="M262" s="4">
        <f t="shared" si="57"/>
        <v>19.300000000000015</v>
      </c>
      <c r="N262" s="4">
        <f t="shared" si="57"/>
        <v>18.900000000000016</v>
      </c>
      <c r="O262" s="4">
        <f t="shared" si="57"/>
        <v>18.500000000000018</v>
      </c>
      <c r="P262" s="4">
        <f t="shared" si="57"/>
        <v>18.100000000000019</v>
      </c>
      <c r="Q262" s="4">
        <f t="shared" si="57"/>
        <v>17.800000000000018</v>
      </c>
      <c r="R262" s="4">
        <f t="shared" si="57"/>
        <v>17.500000000000018</v>
      </c>
      <c r="S262" s="4">
        <f t="shared" si="57"/>
        <v>17.200000000000017</v>
      </c>
      <c r="T262" s="4">
        <f t="shared" si="57"/>
        <v>16.900000000000016</v>
      </c>
      <c r="U262" s="4">
        <f t="shared" si="57"/>
        <v>16.600000000000016</v>
      </c>
      <c r="V262" s="4">
        <f t="shared" si="57"/>
        <v>16.300000000000015</v>
      </c>
      <c r="W262" s="4">
        <f t="shared" si="57"/>
        <v>16.000000000000014</v>
      </c>
      <c r="X262" s="4">
        <f t="shared" si="57"/>
        <v>15.700000000000014</v>
      </c>
      <c r="Y262" s="4">
        <f t="shared" si="57"/>
        <v>15.400000000000013</v>
      </c>
      <c r="Z262" s="4">
        <f t="shared" si="57"/>
        <v>15.100000000000012</v>
      </c>
      <c r="AA262" s="4">
        <f t="shared" si="57"/>
        <v>14.800000000000011</v>
      </c>
      <c r="AB262" s="4">
        <f t="shared" si="57"/>
        <v>14.500000000000011</v>
      </c>
      <c r="AC262" s="4">
        <f t="shared" si="57"/>
        <v>14.20000000000001</v>
      </c>
      <c r="AD262" s="4">
        <f t="shared" si="57"/>
        <v>13.900000000000009</v>
      </c>
      <c r="AE262" s="4">
        <f t="shared" si="57"/>
        <v>13.600000000000009</v>
      </c>
      <c r="AF262" s="4">
        <f t="shared" si="57"/>
        <v>13.300000000000008</v>
      </c>
      <c r="AG262" s="4">
        <f t="shared" si="57"/>
        <v>13.000000000000007</v>
      </c>
      <c r="AH262" s="4">
        <f t="shared" si="57"/>
        <v>12.700000000000006</v>
      </c>
      <c r="AI262" s="4">
        <f t="shared" si="57"/>
        <v>12.400000000000006</v>
      </c>
      <c r="AJ262" s="4">
        <f t="shared" si="57"/>
        <v>12.100000000000005</v>
      </c>
      <c r="AK262" s="4">
        <f t="shared" si="57"/>
        <v>11.800000000000004</v>
      </c>
    </row>
    <row r="263" spans="3:37" outlineLevel="1" x14ac:dyDescent="0.25">
      <c r="C263" s="38">
        <v>23.4</v>
      </c>
      <c r="D263" s="4">
        <f t="shared" si="57"/>
        <v>23</v>
      </c>
      <c r="E263" s="4">
        <f t="shared" si="57"/>
        <v>22.6</v>
      </c>
      <c r="F263" s="4">
        <f t="shared" si="57"/>
        <v>22.200000000000003</v>
      </c>
      <c r="G263" s="4">
        <f t="shared" si="57"/>
        <v>21.800000000000004</v>
      </c>
      <c r="H263" s="4">
        <f t="shared" si="57"/>
        <v>21.400000000000006</v>
      </c>
      <c r="I263" s="4">
        <f t="shared" si="57"/>
        <v>21.000000000000007</v>
      </c>
      <c r="J263" s="4">
        <f t="shared" si="57"/>
        <v>20.600000000000009</v>
      </c>
      <c r="K263" s="4">
        <f t="shared" si="57"/>
        <v>20.20000000000001</v>
      </c>
      <c r="L263" s="4">
        <f t="shared" si="57"/>
        <v>19.800000000000011</v>
      </c>
      <c r="M263" s="4">
        <f t="shared" si="57"/>
        <v>19.400000000000013</v>
      </c>
      <c r="N263" s="4">
        <f t="shared" si="57"/>
        <v>19.000000000000014</v>
      </c>
      <c r="O263" s="4">
        <f t="shared" si="57"/>
        <v>18.600000000000016</v>
      </c>
      <c r="P263" s="4">
        <f t="shared" si="57"/>
        <v>18.200000000000017</v>
      </c>
      <c r="Q263" s="4">
        <f t="shared" si="57"/>
        <v>17.900000000000016</v>
      </c>
      <c r="R263" s="4">
        <f t="shared" si="57"/>
        <v>17.600000000000016</v>
      </c>
      <c r="S263" s="4">
        <f t="shared" si="57"/>
        <v>17.300000000000015</v>
      </c>
      <c r="T263" s="4">
        <f t="shared" si="57"/>
        <v>17.000000000000014</v>
      </c>
      <c r="U263" s="4">
        <f t="shared" si="57"/>
        <v>16.700000000000014</v>
      </c>
      <c r="V263" s="4">
        <f t="shared" si="57"/>
        <v>16.400000000000013</v>
      </c>
      <c r="W263" s="4">
        <f t="shared" si="57"/>
        <v>16.100000000000012</v>
      </c>
      <c r="X263" s="4">
        <f t="shared" si="57"/>
        <v>15.800000000000011</v>
      </c>
      <c r="Y263" s="4">
        <f t="shared" si="57"/>
        <v>15.500000000000011</v>
      </c>
      <c r="Z263" s="4">
        <f t="shared" si="57"/>
        <v>15.20000000000001</v>
      </c>
      <c r="AA263" s="4">
        <f t="shared" si="57"/>
        <v>14.900000000000009</v>
      </c>
      <c r="AB263" s="4">
        <f t="shared" si="57"/>
        <v>14.600000000000009</v>
      </c>
      <c r="AC263" s="4">
        <f t="shared" si="57"/>
        <v>14.300000000000008</v>
      </c>
      <c r="AD263" s="4">
        <f t="shared" si="57"/>
        <v>14.000000000000007</v>
      </c>
      <c r="AE263" s="4">
        <f t="shared" si="57"/>
        <v>13.700000000000006</v>
      </c>
      <c r="AF263" s="4">
        <f t="shared" si="57"/>
        <v>13.400000000000006</v>
      </c>
      <c r="AG263" s="4">
        <f t="shared" si="57"/>
        <v>13.100000000000005</v>
      </c>
      <c r="AH263" s="4">
        <f t="shared" si="57"/>
        <v>12.800000000000004</v>
      </c>
      <c r="AI263" s="4">
        <f t="shared" si="57"/>
        <v>12.500000000000004</v>
      </c>
      <c r="AJ263" s="4">
        <f t="shared" si="57"/>
        <v>12.200000000000003</v>
      </c>
      <c r="AK263" s="4">
        <f t="shared" si="57"/>
        <v>11.900000000000002</v>
      </c>
    </row>
    <row r="264" spans="3:37" outlineLevel="1" x14ac:dyDescent="0.25">
      <c r="C264" s="38">
        <v>23.5</v>
      </c>
      <c r="D264" s="4">
        <f t="shared" si="57"/>
        <v>23.1</v>
      </c>
      <c r="E264" s="4">
        <f t="shared" si="57"/>
        <v>22.700000000000003</v>
      </c>
      <c r="F264" s="4">
        <f t="shared" si="57"/>
        <v>22.300000000000004</v>
      </c>
      <c r="G264" s="4">
        <f t="shared" si="57"/>
        <v>21.900000000000006</v>
      </c>
      <c r="H264" s="4">
        <f t="shared" si="57"/>
        <v>21.500000000000007</v>
      </c>
      <c r="I264" s="4">
        <f t="shared" si="57"/>
        <v>21.100000000000009</v>
      </c>
      <c r="J264" s="4">
        <f t="shared" si="57"/>
        <v>20.70000000000001</v>
      </c>
      <c r="K264" s="4">
        <f t="shared" si="57"/>
        <v>20.300000000000011</v>
      </c>
      <c r="L264" s="4">
        <f t="shared" si="57"/>
        <v>19.900000000000013</v>
      </c>
      <c r="M264" s="4">
        <f t="shared" si="57"/>
        <v>19.500000000000014</v>
      </c>
      <c r="N264" s="4">
        <f t="shared" si="57"/>
        <v>19.100000000000016</v>
      </c>
      <c r="O264" s="4">
        <f t="shared" si="57"/>
        <v>18.700000000000017</v>
      </c>
      <c r="P264" s="4">
        <f t="shared" si="57"/>
        <v>18.300000000000018</v>
      </c>
      <c r="Q264" s="4">
        <f t="shared" si="57"/>
        <v>18.000000000000018</v>
      </c>
      <c r="R264" s="4">
        <f t="shared" si="57"/>
        <v>17.700000000000017</v>
      </c>
      <c r="S264" s="4">
        <f t="shared" si="57"/>
        <v>17.400000000000016</v>
      </c>
      <c r="T264" s="4">
        <f t="shared" si="57"/>
        <v>17.100000000000016</v>
      </c>
      <c r="U264" s="4">
        <f t="shared" ref="U264:AK264" si="58">(IF(T264&lt;=4.4,T264-$E$6,IF(AND(T264&gt;=4.5,T264&lt;=11.4),T264-$E$7,IF(AND(T264&gt;=11.5,T264&lt;=18.4),T264-$E$8,IF(AND(T264&gt;=18.5,T264&lt;=26.4),T264-$E$9,IF(AND(T264&gt;=26.4,T264&lt;=36),T264-$E$10,IF(T264&gt;=37,T264-$E$11)))))))</f>
        <v>16.800000000000015</v>
      </c>
      <c r="V264" s="4">
        <f t="shared" si="58"/>
        <v>16.500000000000014</v>
      </c>
      <c r="W264" s="4">
        <f t="shared" si="58"/>
        <v>16.200000000000014</v>
      </c>
      <c r="X264" s="4">
        <f t="shared" si="58"/>
        <v>15.900000000000013</v>
      </c>
      <c r="Y264" s="4">
        <f t="shared" si="58"/>
        <v>15.600000000000012</v>
      </c>
      <c r="Z264" s="4">
        <f t="shared" si="58"/>
        <v>15.300000000000011</v>
      </c>
      <c r="AA264" s="4">
        <f t="shared" si="58"/>
        <v>15.000000000000011</v>
      </c>
      <c r="AB264" s="4">
        <f t="shared" si="58"/>
        <v>14.70000000000001</v>
      </c>
      <c r="AC264" s="4">
        <f t="shared" si="58"/>
        <v>14.400000000000009</v>
      </c>
      <c r="AD264" s="4">
        <f t="shared" si="58"/>
        <v>14.100000000000009</v>
      </c>
      <c r="AE264" s="4">
        <f t="shared" si="58"/>
        <v>13.800000000000008</v>
      </c>
      <c r="AF264" s="4">
        <f t="shared" si="58"/>
        <v>13.500000000000007</v>
      </c>
      <c r="AG264" s="4">
        <f t="shared" si="58"/>
        <v>13.200000000000006</v>
      </c>
      <c r="AH264" s="4">
        <f t="shared" si="58"/>
        <v>12.900000000000006</v>
      </c>
      <c r="AI264" s="4">
        <f t="shared" si="58"/>
        <v>12.600000000000005</v>
      </c>
      <c r="AJ264" s="4">
        <f t="shared" si="58"/>
        <v>12.300000000000004</v>
      </c>
      <c r="AK264" s="4">
        <f t="shared" si="58"/>
        <v>12.000000000000004</v>
      </c>
    </row>
    <row r="265" spans="3:37" outlineLevel="1" x14ac:dyDescent="0.25">
      <c r="C265" s="38">
        <v>23.6</v>
      </c>
      <c r="D265" s="4">
        <f t="shared" ref="D265:AK272" si="59">(IF(C265&lt;=4.4,C265-$E$6,IF(AND(C265&gt;=4.5,C265&lt;=11.4),C265-$E$7,IF(AND(C265&gt;=11.5,C265&lt;=18.4),C265-$E$8,IF(AND(C265&gt;=18.5,C265&lt;=26.4),C265-$E$9,IF(AND(C265&gt;=26.4,C265&lt;=36),C265-$E$10,IF(C265&gt;=37,C265-$E$11)))))))</f>
        <v>23.200000000000003</v>
      </c>
      <c r="E265" s="4">
        <f t="shared" si="59"/>
        <v>22.800000000000004</v>
      </c>
      <c r="F265" s="4">
        <f t="shared" si="59"/>
        <v>22.400000000000006</v>
      </c>
      <c r="G265" s="4">
        <f t="shared" si="59"/>
        <v>22.000000000000007</v>
      </c>
      <c r="H265" s="4">
        <f t="shared" si="59"/>
        <v>21.600000000000009</v>
      </c>
      <c r="I265" s="4">
        <f t="shared" si="59"/>
        <v>21.20000000000001</v>
      </c>
      <c r="J265" s="4">
        <f t="shared" si="59"/>
        <v>20.800000000000011</v>
      </c>
      <c r="K265" s="4">
        <f t="shared" si="59"/>
        <v>20.400000000000013</v>
      </c>
      <c r="L265" s="4">
        <f t="shared" si="59"/>
        <v>20.000000000000014</v>
      </c>
      <c r="M265" s="4">
        <f t="shared" si="59"/>
        <v>19.600000000000016</v>
      </c>
      <c r="N265" s="4">
        <f t="shared" si="59"/>
        <v>19.200000000000017</v>
      </c>
      <c r="O265" s="4">
        <f t="shared" si="59"/>
        <v>18.800000000000018</v>
      </c>
      <c r="P265" s="4">
        <f t="shared" si="59"/>
        <v>18.40000000000002</v>
      </c>
      <c r="Q265" s="4">
        <f t="shared" si="59"/>
        <v>18.100000000000019</v>
      </c>
      <c r="R265" s="4">
        <f t="shared" si="59"/>
        <v>17.800000000000018</v>
      </c>
      <c r="S265" s="4">
        <f t="shared" si="59"/>
        <v>17.500000000000018</v>
      </c>
      <c r="T265" s="4">
        <f t="shared" si="59"/>
        <v>17.200000000000017</v>
      </c>
      <c r="U265" s="4">
        <f t="shared" si="59"/>
        <v>16.900000000000016</v>
      </c>
      <c r="V265" s="4">
        <f t="shared" si="59"/>
        <v>16.600000000000016</v>
      </c>
      <c r="W265" s="4">
        <f t="shared" si="59"/>
        <v>16.300000000000015</v>
      </c>
      <c r="X265" s="4">
        <f t="shared" si="59"/>
        <v>16.000000000000014</v>
      </c>
      <c r="Y265" s="4">
        <f t="shared" si="59"/>
        <v>15.700000000000014</v>
      </c>
      <c r="Z265" s="4">
        <f t="shared" si="59"/>
        <v>15.400000000000013</v>
      </c>
      <c r="AA265" s="4">
        <f t="shared" si="59"/>
        <v>15.100000000000012</v>
      </c>
      <c r="AB265" s="4">
        <f t="shared" si="59"/>
        <v>14.800000000000011</v>
      </c>
      <c r="AC265" s="4">
        <f t="shared" si="59"/>
        <v>14.500000000000011</v>
      </c>
      <c r="AD265" s="4">
        <f t="shared" si="59"/>
        <v>14.20000000000001</v>
      </c>
      <c r="AE265" s="4">
        <f t="shared" si="59"/>
        <v>13.900000000000009</v>
      </c>
      <c r="AF265" s="4">
        <f t="shared" si="59"/>
        <v>13.600000000000009</v>
      </c>
      <c r="AG265" s="4">
        <f t="shared" si="59"/>
        <v>13.300000000000008</v>
      </c>
      <c r="AH265" s="4">
        <f t="shared" si="59"/>
        <v>13.000000000000007</v>
      </c>
      <c r="AI265" s="4">
        <f t="shared" si="59"/>
        <v>12.700000000000006</v>
      </c>
      <c r="AJ265" s="4">
        <f t="shared" si="59"/>
        <v>12.400000000000006</v>
      </c>
      <c r="AK265" s="4">
        <f t="shared" si="59"/>
        <v>12.100000000000005</v>
      </c>
    </row>
    <row r="266" spans="3:37" outlineLevel="1" x14ac:dyDescent="0.25">
      <c r="C266" s="38">
        <v>23.7</v>
      </c>
      <c r="D266" s="4">
        <f t="shared" si="59"/>
        <v>23.3</v>
      </c>
      <c r="E266" s="4">
        <f t="shared" si="59"/>
        <v>22.900000000000002</v>
      </c>
      <c r="F266" s="4">
        <f t="shared" si="59"/>
        <v>22.500000000000004</v>
      </c>
      <c r="G266" s="4">
        <f t="shared" si="59"/>
        <v>22.100000000000005</v>
      </c>
      <c r="H266" s="4">
        <f t="shared" si="59"/>
        <v>21.700000000000006</v>
      </c>
      <c r="I266" s="4">
        <f t="shared" si="59"/>
        <v>21.300000000000008</v>
      </c>
      <c r="J266" s="4">
        <f t="shared" si="59"/>
        <v>20.900000000000009</v>
      </c>
      <c r="K266" s="4">
        <f t="shared" si="59"/>
        <v>20.500000000000011</v>
      </c>
      <c r="L266" s="4">
        <f t="shared" si="59"/>
        <v>20.100000000000012</v>
      </c>
      <c r="M266" s="4">
        <f t="shared" si="59"/>
        <v>19.700000000000014</v>
      </c>
      <c r="N266" s="4">
        <f t="shared" si="59"/>
        <v>19.300000000000015</v>
      </c>
      <c r="O266" s="4">
        <f t="shared" si="59"/>
        <v>18.900000000000016</v>
      </c>
      <c r="P266" s="4">
        <f t="shared" si="59"/>
        <v>18.500000000000018</v>
      </c>
      <c r="Q266" s="4">
        <f t="shared" si="59"/>
        <v>18.100000000000019</v>
      </c>
      <c r="R266" s="4">
        <f t="shared" si="59"/>
        <v>17.800000000000018</v>
      </c>
      <c r="S266" s="4">
        <f t="shared" si="59"/>
        <v>17.500000000000018</v>
      </c>
      <c r="T266" s="4">
        <f t="shared" si="59"/>
        <v>17.200000000000017</v>
      </c>
      <c r="U266" s="4">
        <f t="shared" si="59"/>
        <v>16.900000000000016</v>
      </c>
      <c r="V266" s="4">
        <f t="shared" si="59"/>
        <v>16.600000000000016</v>
      </c>
      <c r="W266" s="4">
        <f t="shared" si="59"/>
        <v>16.300000000000015</v>
      </c>
      <c r="X266" s="4">
        <f t="shared" si="59"/>
        <v>16.000000000000014</v>
      </c>
      <c r="Y266" s="4">
        <f t="shared" si="59"/>
        <v>15.700000000000014</v>
      </c>
      <c r="Z266" s="4">
        <f t="shared" si="59"/>
        <v>15.400000000000013</v>
      </c>
      <c r="AA266" s="4">
        <f t="shared" si="59"/>
        <v>15.100000000000012</v>
      </c>
      <c r="AB266" s="4">
        <f t="shared" si="59"/>
        <v>14.800000000000011</v>
      </c>
      <c r="AC266" s="4">
        <f t="shared" si="59"/>
        <v>14.500000000000011</v>
      </c>
      <c r="AD266" s="4">
        <f t="shared" si="59"/>
        <v>14.20000000000001</v>
      </c>
      <c r="AE266" s="4">
        <f t="shared" si="59"/>
        <v>13.900000000000009</v>
      </c>
      <c r="AF266" s="4">
        <f t="shared" si="59"/>
        <v>13.600000000000009</v>
      </c>
      <c r="AG266" s="4">
        <f t="shared" si="59"/>
        <v>13.300000000000008</v>
      </c>
      <c r="AH266" s="4">
        <f t="shared" si="59"/>
        <v>13.000000000000007</v>
      </c>
      <c r="AI266" s="4">
        <f t="shared" si="59"/>
        <v>12.700000000000006</v>
      </c>
      <c r="AJ266" s="4">
        <f t="shared" si="59"/>
        <v>12.400000000000006</v>
      </c>
      <c r="AK266" s="4">
        <f t="shared" si="59"/>
        <v>12.100000000000005</v>
      </c>
    </row>
    <row r="267" spans="3:37" outlineLevel="1" x14ac:dyDescent="0.25">
      <c r="C267" s="38">
        <v>23.8</v>
      </c>
      <c r="D267" s="4">
        <f t="shared" si="59"/>
        <v>23.400000000000002</v>
      </c>
      <c r="E267" s="4">
        <f t="shared" si="59"/>
        <v>23.000000000000004</v>
      </c>
      <c r="F267" s="4">
        <f t="shared" si="59"/>
        <v>22.600000000000005</v>
      </c>
      <c r="G267" s="4">
        <f t="shared" si="59"/>
        <v>22.200000000000006</v>
      </c>
      <c r="H267" s="4">
        <f t="shared" si="59"/>
        <v>21.800000000000008</v>
      </c>
      <c r="I267" s="4">
        <f t="shared" si="59"/>
        <v>21.400000000000009</v>
      </c>
      <c r="J267" s="4">
        <f t="shared" si="59"/>
        <v>21.000000000000011</v>
      </c>
      <c r="K267" s="4">
        <f t="shared" si="59"/>
        <v>20.600000000000012</v>
      </c>
      <c r="L267" s="4">
        <f t="shared" si="59"/>
        <v>20.200000000000014</v>
      </c>
      <c r="M267" s="4">
        <f t="shared" si="59"/>
        <v>19.800000000000015</v>
      </c>
      <c r="N267" s="4">
        <f t="shared" si="59"/>
        <v>19.400000000000016</v>
      </c>
      <c r="O267" s="4">
        <f t="shared" si="59"/>
        <v>19.000000000000018</v>
      </c>
      <c r="P267" s="4">
        <f t="shared" si="59"/>
        <v>18.600000000000019</v>
      </c>
      <c r="Q267" s="4">
        <f t="shared" si="59"/>
        <v>18.200000000000021</v>
      </c>
      <c r="R267" s="4">
        <f t="shared" si="59"/>
        <v>17.90000000000002</v>
      </c>
      <c r="S267" s="4">
        <f t="shared" si="59"/>
        <v>17.600000000000019</v>
      </c>
      <c r="T267" s="4">
        <f t="shared" si="59"/>
        <v>17.300000000000018</v>
      </c>
      <c r="U267" s="4">
        <f t="shared" si="59"/>
        <v>17.000000000000018</v>
      </c>
      <c r="V267" s="4">
        <f t="shared" si="59"/>
        <v>16.700000000000017</v>
      </c>
      <c r="W267" s="4">
        <f t="shared" si="59"/>
        <v>16.400000000000016</v>
      </c>
      <c r="X267" s="4">
        <f t="shared" si="59"/>
        <v>16.100000000000016</v>
      </c>
      <c r="Y267" s="4">
        <f t="shared" si="59"/>
        <v>15.800000000000015</v>
      </c>
      <c r="Z267" s="4">
        <f t="shared" si="59"/>
        <v>15.500000000000014</v>
      </c>
      <c r="AA267" s="4">
        <f t="shared" si="59"/>
        <v>15.200000000000014</v>
      </c>
      <c r="AB267" s="4">
        <f t="shared" si="59"/>
        <v>14.900000000000013</v>
      </c>
      <c r="AC267" s="4">
        <f t="shared" si="59"/>
        <v>14.600000000000012</v>
      </c>
      <c r="AD267" s="4">
        <f t="shared" si="59"/>
        <v>14.300000000000011</v>
      </c>
      <c r="AE267" s="4">
        <f t="shared" si="59"/>
        <v>14.000000000000011</v>
      </c>
      <c r="AF267" s="4">
        <f t="shared" si="59"/>
        <v>13.70000000000001</v>
      </c>
      <c r="AG267" s="4">
        <f t="shared" si="59"/>
        <v>13.400000000000009</v>
      </c>
      <c r="AH267" s="4">
        <f t="shared" si="59"/>
        <v>13.100000000000009</v>
      </c>
      <c r="AI267" s="4">
        <f t="shared" si="59"/>
        <v>12.800000000000008</v>
      </c>
      <c r="AJ267" s="4">
        <f t="shared" si="59"/>
        <v>12.500000000000007</v>
      </c>
      <c r="AK267" s="4">
        <f t="shared" si="59"/>
        <v>12.200000000000006</v>
      </c>
    </row>
    <row r="268" spans="3:37" outlineLevel="1" x14ac:dyDescent="0.25">
      <c r="C268" s="38">
        <v>23.9</v>
      </c>
      <c r="D268" s="4">
        <f t="shared" si="59"/>
        <v>23.5</v>
      </c>
      <c r="E268" s="4">
        <f t="shared" si="59"/>
        <v>23.1</v>
      </c>
      <c r="F268" s="4">
        <f t="shared" si="59"/>
        <v>22.700000000000003</v>
      </c>
      <c r="G268" s="4">
        <f t="shared" si="59"/>
        <v>22.300000000000004</v>
      </c>
      <c r="H268" s="4">
        <f t="shared" si="59"/>
        <v>21.900000000000006</v>
      </c>
      <c r="I268" s="4">
        <f t="shared" si="59"/>
        <v>21.500000000000007</v>
      </c>
      <c r="J268" s="4">
        <f t="shared" si="59"/>
        <v>21.100000000000009</v>
      </c>
      <c r="K268" s="4">
        <f t="shared" si="59"/>
        <v>20.70000000000001</v>
      </c>
      <c r="L268" s="4">
        <f t="shared" si="59"/>
        <v>20.300000000000011</v>
      </c>
      <c r="M268" s="4">
        <f t="shared" si="59"/>
        <v>19.900000000000013</v>
      </c>
      <c r="N268" s="4">
        <f t="shared" si="59"/>
        <v>19.500000000000014</v>
      </c>
      <c r="O268" s="4">
        <f t="shared" si="59"/>
        <v>19.100000000000016</v>
      </c>
      <c r="P268" s="4">
        <f t="shared" si="59"/>
        <v>18.700000000000017</v>
      </c>
      <c r="Q268" s="4">
        <f t="shared" si="59"/>
        <v>18.300000000000018</v>
      </c>
      <c r="R268" s="4">
        <f t="shared" si="59"/>
        <v>18.000000000000018</v>
      </c>
      <c r="S268" s="4">
        <f t="shared" si="59"/>
        <v>17.700000000000017</v>
      </c>
      <c r="T268" s="4">
        <f t="shared" si="59"/>
        <v>17.400000000000016</v>
      </c>
      <c r="U268" s="4">
        <f t="shared" si="59"/>
        <v>17.100000000000016</v>
      </c>
      <c r="V268" s="4">
        <f t="shared" si="59"/>
        <v>16.800000000000015</v>
      </c>
      <c r="W268" s="4">
        <f t="shared" si="59"/>
        <v>16.500000000000014</v>
      </c>
      <c r="X268" s="4">
        <f t="shared" si="59"/>
        <v>16.200000000000014</v>
      </c>
      <c r="Y268" s="4">
        <f t="shared" si="59"/>
        <v>15.900000000000013</v>
      </c>
      <c r="Z268" s="4">
        <f t="shared" si="59"/>
        <v>15.600000000000012</v>
      </c>
      <c r="AA268" s="4">
        <f t="shared" si="59"/>
        <v>15.300000000000011</v>
      </c>
      <c r="AB268" s="4">
        <f t="shared" si="59"/>
        <v>15.000000000000011</v>
      </c>
      <c r="AC268" s="4">
        <f t="shared" si="59"/>
        <v>14.70000000000001</v>
      </c>
      <c r="AD268" s="4">
        <f t="shared" si="59"/>
        <v>14.400000000000009</v>
      </c>
      <c r="AE268" s="4">
        <f t="shared" si="59"/>
        <v>14.100000000000009</v>
      </c>
      <c r="AF268" s="4">
        <f t="shared" si="59"/>
        <v>13.800000000000008</v>
      </c>
      <c r="AG268" s="4">
        <f t="shared" si="59"/>
        <v>13.500000000000007</v>
      </c>
      <c r="AH268" s="4">
        <f t="shared" si="59"/>
        <v>13.200000000000006</v>
      </c>
      <c r="AI268" s="4">
        <f t="shared" si="59"/>
        <v>12.900000000000006</v>
      </c>
      <c r="AJ268" s="4">
        <f t="shared" si="59"/>
        <v>12.600000000000005</v>
      </c>
      <c r="AK268" s="4">
        <f t="shared" si="59"/>
        <v>12.300000000000004</v>
      </c>
    </row>
    <row r="269" spans="3:37" outlineLevel="1" x14ac:dyDescent="0.25">
      <c r="C269" s="38">
        <v>24</v>
      </c>
      <c r="D269" s="4">
        <f t="shared" si="59"/>
        <v>23.6</v>
      </c>
      <c r="E269" s="4">
        <f t="shared" si="59"/>
        <v>23.200000000000003</v>
      </c>
      <c r="F269" s="4">
        <f t="shared" si="59"/>
        <v>22.800000000000004</v>
      </c>
      <c r="G269" s="4">
        <f t="shared" si="59"/>
        <v>22.400000000000006</v>
      </c>
      <c r="H269" s="4">
        <f t="shared" si="59"/>
        <v>22.000000000000007</v>
      </c>
      <c r="I269" s="4">
        <f t="shared" si="59"/>
        <v>21.600000000000009</v>
      </c>
      <c r="J269" s="4">
        <f t="shared" si="59"/>
        <v>21.20000000000001</v>
      </c>
      <c r="K269" s="4">
        <f t="shared" si="59"/>
        <v>20.800000000000011</v>
      </c>
      <c r="L269" s="4">
        <f t="shared" si="59"/>
        <v>20.400000000000013</v>
      </c>
      <c r="M269" s="4">
        <f t="shared" si="59"/>
        <v>20.000000000000014</v>
      </c>
      <c r="N269" s="4">
        <f t="shared" si="59"/>
        <v>19.600000000000016</v>
      </c>
      <c r="O269" s="4">
        <f t="shared" si="59"/>
        <v>19.200000000000017</v>
      </c>
      <c r="P269" s="4">
        <f t="shared" si="59"/>
        <v>18.800000000000018</v>
      </c>
      <c r="Q269" s="4">
        <f t="shared" si="59"/>
        <v>18.40000000000002</v>
      </c>
      <c r="R269" s="4">
        <f t="shared" si="59"/>
        <v>18.100000000000019</v>
      </c>
      <c r="S269" s="4">
        <f t="shared" si="59"/>
        <v>17.800000000000018</v>
      </c>
      <c r="T269" s="4">
        <f t="shared" si="59"/>
        <v>17.500000000000018</v>
      </c>
      <c r="U269" s="4">
        <f t="shared" si="59"/>
        <v>17.200000000000017</v>
      </c>
      <c r="V269" s="4">
        <f t="shared" si="59"/>
        <v>16.900000000000016</v>
      </c>
      <c r="W269" s="4">
        <f t="shared" si="59"/>
        <v>16.600000000000016</v>
      </c>
      <c r="X269" s="4">
        <f t="shared" si="59"/>
        <v>16.300000000000015</v>
      </c>
      <c r="Y269" s="4">
        <f t="shared" si="59"/>
        <v>16.000000000000014</v>
      </c>
      <c r="Z269" s="4">
        <f t="shared" si="59"/>
        <v>15.700000000000014</v>
      </c>
      <c r="AA269" s="4">
        <f t="shared" si="59"/>
        <v>15.400000000000013</v>
      </c>
      <c r="AB269" s="4">
        <f t="shared" si="59"/>
        <v>15.100000000000012</v>
      </c>
      <c r="AC269" s="4">
        <f t="shared" si="59"/>
        <v>14.800000000000011</v>
      </c>
      <c r="AD269" s="4">
        <f t="shared" si="59"/>
        <v>14.500000000000011</v>
      </c>
      <c r="AE269" s="4">
        <f t="shared" si="59"/>
        <v>14.20000000000001</v>
      </c>
      <c r="AF269" s="4">
        <f t="shared" si="59"/>
        <v>13.900000000000009</v>
      </c>
      <c r="AG269" s="4">
        <f t="shared" si="59"/>
        <v>13.600000000000009</v>
      </c>
      <c r="AH269" s="4">
        <f t="shared" si="59"/>
        <v>13.300000000000008</v>
      </c>
      <c r="AI269" s="4">
        <f t="shared" si="59"/>
        <v>13.000000000000007</v>
      </c>
      <c r="AJ269" s="4">
        <f t="shared" si="59"/>
        <v>12.700000000000006</v>
      </c>
      <c r="AK269" s="4">
        <f t="shared" si="59"/>
        <v>12.400000000000006</v>
      </c>
    </row>
    <row r="270" spans="3:37" outlineLevel="1" x14ac:dyDescent="0.25">
      <c r="C270" s="38">
        <v>24.1</v>
      </c>
      <c r="D270" s="4">
        <f t="shared" si="59"/>
        <v>23.700000000000003</v>
      </c>
      <c r="E270" s="4">
        <f t="shared" si="59"/>
        <v>23.300000000000004</v>
      </c>
      <c r="F270" s="4">
        <f t="shared" si="59"/>
        <v>22.900000000000006</v>
      </c>
      <c r="G270" s="4">
        <f t="shared" si="59"/>
        <v>22.500000000000007</v>
      </c>
      <c r="H270" s="4">
        <f t="shared" si="59"/>
        <v>22.100000000000009</v>
      </c>
      <c r="I270" s="4">
        <f t="shared" si="59"/>
        <v>21.70000000000001</v>
      </c>
      <c r="J270" s="4">
        <f t="shared" si="59"/>
        <v>21.300000000000011</v>
      </c>
      <c r="K270" s="4">
        <f t="shared" si="59"/>
        <v>20.900000000000013</v>
      </c>
      <c r="L270" s="4">
        <f t="shared" si="59"/>
        <v>20.500000000000014</v>
      </c>
      <c r="M270" s="4">
        <f t="shared" si="59"/>
        <v>20.100000000000016</v>
      </c>
      <c r="N270" s="4">
        <f t="shared" si="59"/>
        <v>19.700000000000017</v>
      </c>
      <c r="O270" s="4">
        <f t="shared" si="59"/>
        <v>19.300000000000018</v>
      </c>
      <c r="P270" s="4">
        <f t="shared" si="59"/>
        <v>18.90000000000002</v>
      </c>
      <c r="Q270" s="4">
        <f t="shared" si="59"/>
        <v>18.500000000000021</v>
      </c>
      <c r="R270" s="4">
        <f t="shared" si="59"/>
        <v>18.100000000000023</v>
      </c>
      <c r="S270" s="4">
        <f t="shared" si="59"/>
        <v>17.800000000000022</v>
      </c>
      <c r="T270" s="4">
        <f t="shared" si="59"/>
        <v>17.500000000000021</v>
      </c>
      <c r="U270" s="4">
        <f t="shared" si="59"/>
        <v>17.200000000000021</v>
      </c>
      <c r="V270" s="4">
        <f t="shared" si="59"/>
        <v>16.90000000000002</v>
      </c>
      <c r="W270" s="4">
        <f t="shared" si="59"/>
        <v>16.600000000000019</v>
      </c>
      <c r="X270" s="4">
        <f t="shared" si="59"/>
        <v>16.300000000000018</v>
      </c>
      <c r="Y270" s="4">
        <f t="shared" si="59"/>
        <v>16.000000000000018</v>
      </c>
      <c r="Z270" s="4">
        <f t="shared" si="59"/>
        <v>15.700000000000017</v>
      </c>
      <c r="AA270" s="4">
        <f t="shared" si="59"/>
        <v>15.400000000000016</v>
      </c>
      <c r="AB270" s="4">
        <f t="shared" si="59"/>
        <v>15.100000000000016</v>
      </c>
      <c r="AC270" s="4">
        <f t="shared" si="59"/>
        <v>14.800000000000015</v>
      </c>
      <c r="AD270" s="4">
        <f t="shared" si="59"/>
        <v>14.500000000000014</v>
      </c>
      <c r="AE270" s="4">
        <f t="shared" si="59"/>
        <v>14.200000000000014</v>
      </c>
      <c r="AF270" s="4">
        <f t="shared" si="59"/>
        <v>13.900000000000013</v>
      </c>
      <c r="AG270" s="4">
        <f t="shared" si="59"/>
        <v>13.600000000000012</v>
      </c>
      <c r="AH270" s="4">
        <f t="shared" si="59"/>
        <v>13.300000000000011</v>
      </c>
      <c r="AI270" s="4">
        <f t="shared" si="59"/>
        <v>13.000000000000011</v>
      </c>
      <c r="AJ270" s="4">
        <f t="shared" si="59"/>
        <v>12.70000000000001</v>
      </c>
      <c r="AK270" s="4">
        <f t="shared" si="59"/>
        <v>12.400000000000009</v>
      </c>
    </row>
    <row r="271" spans="3:37" outlineLevel="1" x14ac:dyDescent="0.25">
      <c r="C271" s="38">
        <v>24.2</v>
      </c>
      <c r="D271" s="4">
        <f t="shared" si="59"/>
        <v>23.8</v>
      </c>
      <c r="E271" s="4">
        <f t="shared" si="59"/>
        <v>23.400000000000002</v>
      </c>
      <c r="F271" s="4">
        <f t="shared" si="59"/>
        <v>23.000000000000004</v>
      </c>
      <c r="G271" s="4">
        <f t="shared" si="59"/>
        <v>22.600000000000005</v>
      </c>
      <c r="H271" s="4">
        <f t="shared" si="59"/>
        <v>22.200000000000006</v>
      </c>
      <c r="I271" s="4">
        <f t="shared" si="59"/>
        <v>21.800000000000008</v>
      </c>
      <c r="J271" s="4">
        <f t="shared" si="59"/>
        <v>21.400000000000009</v>
      </c>
      <c r="K271" s="4">
        <f t="shared" si="59"/>
        <v>21.000000000000011</v>
      </c>
      <c r="L271" s="4">
        <f t="shared" si="59"/>
        <v>20.600000000000012</v>
      </c>
      <c r="M271" s="4">
        <f t="shared" si="59"/>
        <v>20.200000000000014</v>
      </c>
      <c r="N271" s="4">
        <f t="shared" si="59"/>
        <v>19.800000000000015</v>
      </c>
      <c r="O271" s="4">
        <f t="shared" si="59"/>
        <v>19.400000000000016</v>
      </c>
      <c r="P271" s="4">
        <f t="shared" si="59"/>
        <v>19.000000000000018</v>
      </c>
      <c r="Q271" s="4">
        <f t="shared" si="59"/>
        <v>18.600000000000019</v>
      </c>
      <c r="R271" s="4">
        <f t="shared" si="59"/>
        <v>18.200000000000021</v>
      </c>
      <c r="S271" s="4">
        <f t="shared" si="59"/>
        <v>17.90000000000002</v>
      </c>
      <c r="T271" s="4">
        <f t="shared" si="59"/>
        <v>17.600000000000019</v>
      </c>
      <c r="U271" s="4">
        <f t="shared" si="59"/>
        <v>17.300000000000018</v>
      </c>
      <c r="V271" s="4">
        <f t="shared" si="59"/>
        <v>17.000000000000018</v>
      </c>
      <c r="W271" s="4">
        <f t="shared" si="59"/>
        <v>16.700000000000017</v>
      </c>
      <c r="X271" s="4">
        <f t="shared" si="59"/>
        <v>16.400000000000016</v>
      </c>
      <c r="Y271" s="4">
        <f t="shared" si="59"/>
        <v>16.100000000000016</v>
      </c>
      <c r="Z271" s="4">
        <f t="shared" si="59"/>
        <v>15.800000000000015</v>
      </c>
      <c r="AA271" s="4">
        <f t="shared" si="59"/>
        <v>15.500000000000014</v>
      </c>
      <c r="AB271" s="4">
        <f t="shared" si="59"/>
        <v>15.200000000000014</v>
      </c>
      <c r="AC271" s="4">
        <f t="shared" si="59"/>
        <v>14.900000000000013</v>
      </c>
      <c r="AD271" s="4">
        <f t="shared" si="59"/>
        <v>14.600000000000012</v>
      </c>
      <c r="AE271" s="4">
        <f t="shared" si="59"/>
        <v>14.300000000000011</v>
      </c>
      <c r="AF271" s="4">
        <f t="shared" si="59"/>
        <v>14.000000000000011</v>
      </c>
      <c r="AG271" s="4">
        <f t="shared" si="59"/>
        <v>13.70000000000001</v>
      </c>
      <c r="AH271" s="4">
        <f t="shared" si="59"/>
        <v>13.400000000000009</v>
      </c>
      <c r="AI271" s="4">
        <f t="shared" si="59"/>
        <v>13.100000000000009</v>
      </c>
      <c r="AJ271" s="4">
        <f t="shared" si="59"/>
        <v>12.800000000000008</v>
      </c>
      <c r="AK271" s="4">
        <f t="shared" si="59"/>
        <v>12.500000000000007</v>
      </c>
    </row>
    <row r="272" spans="3:37" outlineLevel="1" x14ac:dyDescent="0.25">
      <c r="C272" s="38">
        <v>24.3</v>
      </c>
      <c r="D272" s="4">
        <f t="shared" si="59"/>
        <v>23.900000000000002</v>
      </c>
      <c r="E272" s="4">
        <f t="shared" si="59"/>
        <v>23.500000000000004</v>
      </c>
      <c r="F272" s="4">
        <f t="shared" si="59"/>
        <v>23.100000000000005</v>
      </c>
      <c r="G272" s="4">
        <f t="shared" si="59"/>
        <v>22.700000000000006</v>
      </c>
      <c r="H272" s="4">
        <f t="shared" si="59"/>
        <v>22.300000000000008</v>
      </c>
      <c r="I272" s="4">
        <f t="shared" si="59"/>
        <v>21.900000000000009</v>
      </c>
      <c r="J272" s="4">
        <f t="shared" si="59"/>
        <v>21.500000000000011</v>
      </c>
      <c r="K272" s="4">
        <f t="shared" si="59"/>
        <v>21.100000000000012</v>
      </c>
      <c r="L272" s="4">
        <f t="shared" si="59"/>
        <v>20.700000000000014</v>
      </c>
      <c r="M272" s="4">
        <f t="shared" si="59"/>
        <v>20.300000000000015</v>
      </c>
      <c r="N272" s="4">
        <f t="shared" si="59"/>
        <v>19.900000000000016</v>
      </c>
      <c r="O272" s="4">
        <f t="shared" si="59"/>
        <v>19.500000000000018</v>
      </c>
      <c r="P272" s="4">
        <f t="shared" si="59"/>
        <v>19.100000000000019</v>
      </c>
      <c r="Q272" s="4">
        <f t="shared" si="59"/>
        <v>18.700000000000021</v>
      </c>
      <c r="R272" s="4">
        <f t="shared" si="59"/>
        <v>18.300000000000022</v>
      </c>
      <c r="S272" s="4">
        <f t="shared" si="59"/>
        <v>18.000000000000021</v>
      </c>
      <c r="T272" s="4">
        <f t="shared" si="59"/>
        <v>17.700000000000021</v>
      </c>
      <c r="U272" s="4">
        <f t="shared" ref="U272:AK272" si="60">(IF(T272&lt;=4.4,T272-$E$6,IF(AND(T272&gt;=4.5,T272&lt;=11.4),T272-$E$7,IF(AND(T272&gt;=11.5,T272&lt;=18.4),T272-$E$8,IF(AND(T272&gt;=18.5,T272&lt;=26.4),T272-$E$9,IF(AND(T272&gt;=26.4,T272&lt;=36),T272-$E$10,IF(T272&gt;=37,T272-$E$11)))))))</f>
        <v>17.40000000000002</v>
      </c>
      <c r="V272" s="4">
        <f t="shared" si="60"/>
        <v>17.100000000000019</v>
      </c>
      <c r="W272" s="4">
        <f t="shared" si="60"/>
        <v>16.800000000000018</v>
      </c>
      <c r="X272" s="4">
        <f t="shared" si="60"/>
        <v>16.500000000000018</v>
      </c>
      <c r="Y272" s="4">
        <f t="shared" si="60"/>
        <v>16.200000000000017</v>
      </c>
      <c r="Z272" s="4">
        <f t="shared" si="60"/>
        <v>15.900000000000016</v>
      </c>
      <c r="AA272" s="4">
        <f t="shared" si="60"/>
        <v>15.600000000000016</v>
      </c>
      <c r="AB272" s="4">
        <f t="shared" si="60"/>
        <v>15.300000000000015</v>
      </c>
      <c r="AC272" s="4">
        <f t="shared" si="60"/>
        <v>15.000000000000014</v>
      </c>
      <c r="AD272" s="4">
        <f t="shared" si="60"/>
        <v>14.700000000000014</v>
      </c>
      <c r="AE272" s="4">
        <f t="shared" si="60"/>
        <v>14.400000000000013</v>
      </c>
      <c r="AF272" s="4">
        <f t="shared" si="60"/>
        <v>14.100000000000012</v>
      </c>
      <c r="AG272" s="4">
        <f t="shared" si="60"/>
        <v>13.800000000000011</v>
      </c>
      <c r="AH272" s="4">
        <f t="shared" si="60"/>
        <v>13.500000000000011</v>
      </c>
      <c r="AI272" s="4">
        <f t="shared" si="60"/>
        <v>13.20000000000001</v>
      </c>
      <c r="AJ272" s="4">
        <f t="shared" si="60"/>
        <v>12.900000000000009</v>
      </c>
      <c r="AK272" s="4">
        <f t="shared" si="60"/>
        <v>12.600000000000009</v>
      </c>
    </row>
    <row r="273" spans="3:37" outlineLevel="1" x14ac:dyDescent="0.25">
      <c r="C273" s="38">
        <v>24.4</v>
      </c>
      <c r="D273" s="4">
        <f t="shared" ref="D273:AK280" si="61">(IF(C273&lt;=4.4,C273-$E$6,IF(AND(C273&gt;=4.5,C273&lt;=11.4),C273-$E$7,IF(AND(C273&gt;=11.5,C273&lt;=18.4),C273-$E$8,IF(AND(C273&gt;=18.5,C273&lt;=26.4),C273-$E$9,IF(AND(C273&gt;=26.4,C273&lt;=36),C273-$E$10,IF(C273&gt;=37,C273-$E$11)))))))</f>
        <v>24</v>
      </c>
      <c r="E273" s="4">
        <f t="shared" si="61"/>
        <v>23.6</v>
      </c>
      <c r="F273" s="4">
        <f t="shared" si="61"/>
        <v>23.200000000000003</v>
      </c>
      <c r="G273" s="4">
        <f t="shared" si="61"/>
        <v>22.800000000000004</v>
      </c>
      <c r="H273" s="4">
        <f t="shared" si="61"/>
        <v>22.400000000000006</v>
      </c>
      <c r="I273" s="4">
        <f t="shared" si="61"/>
        <v>22.000000000000007</v>
      </c>
      <c r="J273" s="4">
        <f t="shared" si="61"/>
        <v>21.600000000000009</v>
      </c>
      <c r="K273" s="4">
        <f t="shared" si="61"/>
        <v>21.20000000000001</v>
      </c>
      <c r="L273" s="4">
        <f t="shared" si="61"/>
        <v>20.800000000000011</v>
      </c>
      <c r="M273" s="4">
        <f t="shared" si="61"/>
        <v>20.400000000000013</v>
      </c>
      <c r="N273" s="4">
        <f t="shared" si="61"/>
        <v>20.000000000000014</v>
      </c>
      <c r="O273" s="4">
        <f t="shared" si="61"/>
        <v>19.600000000000016</v>
      </c>
      <c r="P273" s="4">
        <f t="shared" si="61"/>
        <v>19.200000000000017</v>
      </c>
      <c r="Q273" s="4">
        <f t="shared" si="61"/>
        <v>18.800000000000018</v>
      </c>
      <c r="R273" s="4">
        <f t="shared" si="61"/>
        <v>18.40000000000002</v>
      </c>
      <c r="S273" s="4">
        <f t="shared" si="61"/>
        <v>18.100000000000019</v>
      </c>
      <c r="T273" s="4">
        <f t="shared" si="61"/>
        <v>17.800000000000018</v>
      </c>
      <c r="U273" s="4">
        <f t="shared" si="61"/>
        <v>17.500000000000018</v>
      </c>
      <c r="V273" s="4">
        <f t="shared" si="61"/>
        <v>17.200000000000017</v>
      </c>
      <c r="W273" s="4">
        <f t="shared" si="61"/>
        <v>16.900000000000016</v>
      </c>
      <c r="X273" s="4">
        <f t="shared" si="61"/>
        <v>16.600000000000016</v>
      </c>
      <c r="Y273" s="4">
        <f t="shared" si="61"/>
        <v>16.300000000000015</v>
      </c>
      <c r="Z273" s="4">
        <f t="shared" si="61"/>
        <v>16.000000000000014</v>
      </c>
      <c r="AA273" s="4">
        <f t="shared" si="61"/>
        <v>15.700000000000014</v>
      </c>
      <c r="AB273" s="4">
        <f t="shared" si="61"/>
        <v>15.400000000000013</v>
      </c>
      <c r="AC273" s="4">
        <f t="shared" si="61"/>
        <v>15.100000000000012</v>
      </c>
      <c r="AD273" s="4">
        <f t="shared" si="61"/>
        <v>14.800000000000011</v>
      </c>
      <c r="AE273" s="4">
        <f t="shared" si="61"/>
        <v>14.500000000000011</v>
      </c>
      <c r="AF273" s="4">
        <f t="shared" si="61"/>
        <v>14.20000000000001</v>
      </c>
      <c r="AG273" s="4">
        <f t="shared" si="61"/>
        <v>13.900000000000009</v>
      </c>
      <c r="AH273" s="4">
        <f t="shared" si="61"/>
        <v>13.600000000000009</v>
      </c>
      <c r="AI273" s="4">
        <f t="shared" si="61"/>
        <v>13.300000000000008</v>
      </c>
      <c r="AJ273" s="4">
        <f t="shared" si="61"/>
        <v>13.000000000000007</v>
      </c>
      <c r="AK273" s="4">
        <f t="shared" si="61"/>
        <v>12.700000000000006</v>
      </c>
    </row>
    <row r="274" spans="3:37" outlineLevel="1" x14ac:dyDescent="0.25">
      <c r="C274" s="38">
        <v>24.5</v>
      </c>
      <c r="D274" s="4">
        <f t="shared" si="61"/>
        <v>24.1</v>
      </c>
      <c r="E274" s="4">
        <f t="shared" si="61"/>
        <v>23.700000000000003</v>
      </c>
      <c r="F274" s="4">
        <f t="shared" si="61"/>
        <v>23.300000000000004</v>
      </c>
      <c r="G274" s="4">
        <f t="shared" si="61"/>
        <v>22.900000000000006</v>
      </c>
      <c r="H274" s="4">
        <f t="shared" si="61"/>
        <v>22.500000000000007</v>
      </c>
      <c r="I274" s="4">
        <f t="shared" si="61"/>
        <v>22.100000000000009</v>
      </c>
      <c r="J274" s="4">
        <f t="shared" si="61"/>
        <v>21.70000000000001</v>
      </c>
      <c r="K274" s="4">
        <f t="shared" si="61"/>
        <v>21.300000000000011</v>
      </c>
      <c r="L274" s="4">
        <f t="shared" si="61"/>
        <v>20.900000000000013</v>
      </c>
      <c r="M274" s="4">
        <f t="shared" si="61"/>
        <v>20.500000000000014</v>
      </c>
      <c r="N274" s="4">
        <f t="shared" si="61"/>
        <v>20.100000000000016</v>
      </c>
      <c r="O274" s="4">
        <f t="shared" si="61"/>
        <v>19.700000000000017</v>
      </c>
      <c r="P274" s="4">
        <f t="shared" si="61"/>
        <v>19.300000000000018</v>
      </c>
      <c r="Q274" s="4">
        <f t="shared" si="61"/>
        <v>18.90000000000002</v>
      </c>
      <c r="R274" s="4">
        <f t="shared" si="61"/>
        <v>18.500000000000021</v>
      </c>
      <c r="S274" s="4">
        <f t="shared" si="61"/>
        <v>18.100000000000023</v>
      </c>
      <c r="T274" s="4">
        <f t="shared" si="61"/>
        <v>17.800000000000022</v>
      </c>
      <c r="U274" s="4">
        <f t="shared" si="61"/>
        <v>17.500000000000021</v>
      </c>
      <c r="V274" s="4">
        <f t="shared" si="61"/>
        <v>17.200000000000021</v>
      </c>
      <c r="W274" s="4">
        <f t="shared" si="61"/>
        <v>16.90000000000002</v>
      </c>
      <c r="X274" s="4">
        <f t="shared" si="61"/>
        <v>16.600000000000019</v>
      </c>
      <c r="Y274" s="4">
        <f t="shared" si="61"/>
        <v>16.300000000000018</v>
      </c>
      <c r="Z274" s="4">
        <f t="shared" si="61"/>
        <v>16.000000000000018</v>
      </c>
      <c r="AA274" s="4">
        <f t="shared" si="61"/>
        <v>15.700000000000017</v>
      </c>
      <c r="AB274" s="4">
        <f t="shared" si="61"/>
        <v>15.400000000000016</v>
      </c>
      <c r="AC274" s="4">
        <f t="shared" si="61"/>
        <v>15.100000000000016</v>
      </c>
      <c r="AD274" s="4">
        <f t="shared" si="61"/>
        <v>14.800000000000015</v>
      </c>
      <c r="AE274" s="4">
        <f t="shared" si="61"/>
        <v>14.500000000000014</v>
      </c>
      <c r="AF274" s="4">
        <f t="shared" si="61"/>
        <v>14.200000000000014</v>
      </c>
      <c r="AG274" s="4">
        <f t="shared" si="61"/>
        <v>13.900000000000013</v>
      </c>
      <c r="AH274" s="4">
        <f t="shared" si="61"/>
        <v>13.600000000000012</v>
      </c>
      <c r="AI274" s="4">
        <f t="shared" si="61"/>
        <v>13.300000000000011</v>
      </c>
      <c r="AJ274" s="4">
        <f t="shared" si="61"/>
        <v>13.000000000000011</v>
      </c>
      <c r="AK274" s="4">
        <f t="shared" si="61"/>
        <v>12.70000000000001</v>
      </c>
    </row>
    <row r="275" spans="3:37" outlineLevel="1" x14ac:dyDescent="0.25">
      <c r="C275" s="38">
        <v>24.6</v>
      </c>
      <c r="D275" s="4">
        <f t="shared" si="61"/>
        <v>24.200000000000003</v>
      </c>
      <c r="E275" s="4">
        <f t="shared" si="61"/>
        <v>23.800000000000004</v>
      </c>
      <c r="F275" s="4">
        <f t="shared" si="61"/>
        <v>23.400000000000006</v>
      </c>
      <c r="G275" s="4">
        <f t="shared" si="61"/>
        <v>23.000000000000007</v>
      </c>
      <c r="H275" s="4">
        <f t="shared" si="61"/>
        <v>22.600000000000009</v>
      </c>
      <c r="I275" s="4">
        <f t="shared" si="61"/>
        <v>22.20000000000001</v>
      </c>
      <c r="J275" s="4">
        <f t="shared" si="61"/>
        <v>21.800000000000011</v>
      </c>
      <c r="K275" s="4">
        <f t="shared" si="61"/>
        <v>21.400000000000013</v>
      </c>
      <c r="L275" s="4">
        <f t="shared" si="61"/>
        <v>21.000000000000014</v>
      </c>
      <c r="M275" s="4">
        <f t="shared" si="61"/>
        <v>20.600000000000016</v>
      </c>
      <c r="N275" s="4">
        <f t="shared" si="61"/>
        <v>20.200000000000017</v>
      </c>
      <c r="O275" s="4">
        <f t="shared" si="61"/>
        <v>19.800000000000018</v>
      </c>
      <c r="P275" s="4">
        <f t="shared" si="61"/>
        <v>19.40000000000002</v>
      </c>
      <c r="Q275" s="4">
        <f t="shared" si="61"/>
        <v>19.000000000000021</v>
      </c>
      <c r="R275" s="4">
        <f t="shared" si="61"/>
        <v>18.600000000000023</v>
      </c>
      <c r="S275" s="4">
        <f t="shared" si="61"/>
        <v>18.200000000000024</v>
      </c>
      <c r="T275" s="4">
        <f t="shared" si="61"/>
        <v>17.900000000000023</v>
      </c>
      <c r="U275" s="4">
        <f t="shared" si="61"/>
        <v>17.600000000000023</v>
      </c>
      <c r="V275" s="4">
        <f t="shared" si="61"/>
        <v>17.300000000000022</v>
      </c>
      <c r="W275" s="4">
        <f t="shared" si="61"/>
        <v>17.000000000000021</v>
      </c>
      <c r="X275" s="4">
        <f t="shared" si="61"/>
        <v>16.700000000000021</v>
      </c>
      <c r="Y275" s="4">
        <f t="shared" si="61"/>
        <v>16.40000000000002</v>
      </c>
      <c r="Z275" s="4">
        <f t="shared" si="61"/>
        <v>16.100000000000019</v>
      </c>
      <c r="AA275" s="4">
        <f t="shared" si="61"/>
        <v>15.800000000000018</v>
      </c>
      <c r="AB275" s="4">
        <f t="shared" si="61"/>
        <v>15.500000000000018</v>
      </c>
      <c r="AC275" s="4">
        <f t="shared" si="61"/>
        <v>15.200000000000017</v>
      </c>
      <c r="AD275" s="4">
        <f t="shared" si="61"/>
        <v>14.900000000000016</v>
      </c>
      <c r="AE275" s="4">
        <f t="shared" si="61"/>
        <v>14.600000000000016</v>
      </c>
      <c r="AF275" s="4">
        <f t="shared" si="61"/>
        <v>14.300000000000015</v>
      </c>
      <c r="AG275" s="4">
        <f t="shared" si="61"/>
        <v>14.000000000000014</v>
      </c>
      <c r="AH275" s="4">
        <f t="shared" si="61"/>
        <v>13.700000000000014</v>
      </c>
      <c r="AI275" s="4">
        <f t="shared" si="61"/>
        <v>13.400000000000013</v>
      </c>
      <c r="AJ275" s="4">
        <f t="shared" si="61"/>
        <v>13.100000000000012</v>
      </c>
      <c r="AK275" s="4">
        <f t="shared" si="61"/>
        <v>12.800000000000011</v>
      </c>
    </row>
    <row r="276" spans="3:37" outlineLevel="1" x14ac:dyDescent="0.25">
      <c r="C276" s="38">
        <v>24.7</v>
      </c>
      <c r="D276" s="4">
        <f t="shared" si="61"/>
        <v>24.3</v>
      </c>
      <c r="E276" s="4">
        <f t="shared" si="61"/>
        <v>23.900000000000002</v>
      </c>
      <c r="F276" s="4">
        <f t="shared" si="61"/>
        <v>23.500000000000004</v>
      </c>
      <c r="G276" s="4">
        <f t="shared" si="61"/>
        <v>23.100000000000005</v>
      </c>
      <c r="H276" s="4">
        <f t="shared" si="61"/>
        <v>22.700000000000006</v>
      </c>
      <c r="I276" s="4">
        <f t="shared" si="61"/>
        <v>22.300000000000008</v>
      </c>
      <c r="J276" s="4">
        <f t="shared" si="61"/>
        <v>21.900000000000009</v>
      </c>
      <c r="K276" s="4">
        <f t="shared" si="61"/>
        <v>21.500000000000011</v>
      </c>
      <c r="L276" s="4">
        <f t="shared" si="61"/>
        <v>21.100000000000012</v>
      </c>
      <c r="M276" s="4">
        <f t="shared" si="61"/>
        <v>20.700000000000014</v>
      </c>
      <c r="N276" s="4">
        <f t="shared" si="61"/>
        <v>20.300000000000015</v>
      </c>
      <c r="O276" s="4">
        <f t="shared" si="61"/>
        <v>19.900000000000016</v>
      </c>
      <c r="P276" s="4">
        <f t="shared" si="61"/>
        <v>19.500000000000018</v>
      </c>
      <c r="Q276" s="4">
        <f t="shared" si="61"/>
        <v>19.100000000000019</v>
      </c>
      <c r="R276" s="4">
        <f t="shared" si="61"/>
        <v>18.700000000000021</v>
      </c>
      <c r="S276" s="4">
        <f t="shared" si="61"/>
        <v>18.300000000000022</v>
      </c>
      <c r="T276" s="4">
        <f t="shared" si="61"/>
        <v>18.000000000000021</v>
      </c>
      <c r="U276" s="4">
        <f t="shared" si="61"/>
        <v>17.700000000000021</v>
      </c>
      <c r="V276" s="4">
        <f t="shared" si="61"/>
        <v>17.40000000000002</v>
      </c>
      <c r="W276" s="4">
        <f t="shared" si="61"/>
        <v>17.100000000000019</v>
      </c>
      <c r="X276" s="4">
        <f t="shared" si="61"/>
        <v>16.800000000000018</v>
      </c>
      <c r="Y276" s="4">
        <f t="shared" si="61"/>
        <v>16.500000000000018</v>
      </c>
      <c r="Z276" s="4">
        <f t="shared" si="61"/>
        <v>16.200000000000017</v>
      </c>
      <c r="AA276" s="4">
        <f t="shared" si="61"/>
        <v>15.900000000000016</v>
      </c>
      <c r="AB276" s="4">
        <f t="shared" si="61"/>
        <v>15.600000000000016</v>
      </c>
      <c r="AC276" s="4">
        <f t="shared" si="61"/>
        <v>15.300000000000015</v>
      </c>
      <c r="AD276" s="4">
        <f t="shared" si="61"/>
        <v>15.000000000000014</v>
      </c>
      <c r="AE276" s="4">
        <f t="shared" si="61"/>
        <v>14.700000000000014</v>
      </c>
      <c r="AF276" s="4">
        <f t="shared" si="61"/>
        <v>14.400000000000013</v>
      </c>
      <c r="AG276" s="4">
        <f t="shared" si="61"/>
        <v>14.100000000000012</v>
      </c>
      <c r="AH276" s="4">
        <f t="shared" si="61"/>
        <v>13.800000000000011</v>
      </c>
      <c r="AI276" s="4">
        <f t="shared" si="61"/>
        <v>13.500000000000011</v>
      </c>
      <c r="AJ276" s="4">
        <f t="shared" si="61"/>
        <v>13.20000000000001</v>
      </c>
      <c r="AK276" s="4">
        <f t="shared" si="61"/>
        <v>12.900000000000009</v>
      </c>
    </row>
    <row r="277" spans="3:37" outlineLevel="1" x14ac:dyDescent="0.25">
      <c r="C277" s="38">
        <v>24.8</v>
      </c>
      <c r="D277" s="4">
        <f t="shared" si="61"/>
        <v>24.400000000000002</v>
      </c>
      <c r="E277" s="4">
        <f t="shared" si="61"/>
        <v>24.000000000000004</v>
      </c>
      <c r="F277" s="4">
        <f t="shared" si="61"/>
        <v>23.600000000000005</v>
      </c>
      <c r="G277" s="4">
        <f t="shared" si="61"/>
        <v>23.200000000000006</v>
      </c>
      <c r="H277" s="4">
        <f t="shared" si="61"/>
        <v>22.800000000000008</v>
      </c>
      <c r="I277" s="4">
        <f t="shared" si="61"/>
        <v>22.400000000000009</v>
      </c>
      <c r="J277" s="4">
        <f t="shared" si="61"/>
        <v>22.000000000000011</v>
      </c>
      <c r="K277" s="4">
        <f t="shared" si="61"/>
        <v>21.600000000000012</v>
      </c>
      <c r="L277" s="4">
        <f t="shared" si="61"/>
        <v>21.200000000000014</v>
      </c>
      <c r="M277" s="4">
        <f t="shared" si="61"/>
        <v>20.800000000000015</v>
      </c>
      <c r="N277" s="4">
        <f t="shared" si="61"/>
        <v>20.400000000000016</v>
      </c>
      <c r="O277" s="4">
        <f t="shared" si="61"/>
        <v>20.000000000000018</v>
      </c>
      <c r="P277" s="4">
        <f t="shared" si="61"/>
        <v>19.600000000000019</v>
      </c>
      <c r="Q277" s="4">
        <f t="shared" si="61"/>
        <v>19.200000000000021</v>
      </c>
      <c r="R277" s="4">
        <f t="shared" si="61"/>
        <v>18.800000000000022</v>
      </c>
      <c r="S277" s="4">
        <f t="shared" si="61"/>
        <v>18.400000000000023</v>
      </c>
      <c r="T277" s="4">
        <f t="shared" si="61"/>
        <v>18.100000000000023</v>
      </c>
      <c r="U277" s="4">
        <f t="shared" si="61"/>
        <v>17.800000000000022</v>
      </c>
      <c r="V277" s="4">
        <f t="shared" si="61"/>
        <v>17.500000000000021</v>
      </c>
      <c r="W277" s="4">
        <f t="shared" si="61"/>
        <v>17.200000000000021</v>
      </c>
      <c r="X277" s="4">
        <f t="shared" si="61"/>
        <v>16.90000000000002</v>
      </c>
      <c r="Y277" s="4">
        <f t="shared" si="61"/>
        <v>16.600000000000019</v>
      </c>
      <c r="Z277" s="4">
        <f t="shared" si="61"/>
        <v>16.300000000000018</v>
      </c>
      <c r="AA277" s="4">
        <f t="shared" si="61"/>
        <v>16.000000000000018</v>
      </c>
      <c r="AB277" s="4">
        <f t="shared" si="61"/>
        <v>15.700000000000017</v>
      </c>
      <c r="AC277" s="4">
        <f t="shared" si="61"/>
        <v>15.400000000000016</v>
      </c>
      <c r="AD277" s="4">
        <f t="shared" si="61"/>
        <v>15.100000000000016</v>
      </c>
      <c r="AE277" s="4">
        <f t="shared" si="61"/>
        <v>14.800000000000015</v>
      </c>
      <c r="AF277" s="4">
        <f t="shared" si="61"/>
        <v>14.500000000000014</v>
      </c>
      <c r="AG277" s="4">
        <f t="shared" si="61"/>
        <v>14.200000000000014</v>
      </c>
      <c r="AH277" s="4">
        <f t="shared" si="61"/>
        <v>13.900000000000013</v>
      </c>
      <c r="AI277" s="4">
        <f t="shared" si="61"/>
        <v>13.600000000000012</v>
      </c>
      <c r="AJ277" s="4">
        <f t="shared" si="61"/>
        <v>13.300000000000011</v>
      </c>
      <c r="AK277" s="4">
        <f t="shared" si="61"/>
        <v>13.000000000000011</v>
      </c>
    </row>
    <row r="278" spans="3:37" outlineLevel="1" x14ac:dyDescent="0.25">
      <c r="C278" s="38">
        <v>24.9</v>
      </c>
      <c r="D278" s="4">
        <f t="shared" si="61"/>
        <v>24.5</v>
      </c>
      <c r="E278" s="4">
        <f t="shared" si="61"/>
        <v>24.1</v>
      </c>
      <c r="F278" s="4">
        <f t="shared" si="61"/>
        <v>23.700000000000003</v>
      </c>
      <c r="G278" s="4">
        <f t="shared" si="61"/>
        <v>23.300000000000004</v>
      </c>
      <c r="H278" s="4">
        <f t="shared" si="61"/>
        <v>22.900000000000006</v>
      </c>
      <c r="I278" s="4">
        <f t="shared" si="61"/>
        <v>22.500000000000007</v>
      </c>
      <c r="J278" s="4">
        <f t="shared" si="61"/>
        <v>22.100000000000009</v>
      </c>
      <c r="K278" s="4">
        <f t="shared" si="61"/>
        <v>21.70000000000001</v>
      </c>
      <c r="L278" s="4">
        <f t="shared" si="61"/>
        <v>21.300000000000011</v>
      </c>
      <c r="M278" s="4">
        <f t="shared" si="61"/>
        <v>20.900000000000013</v>
      </c>
      <c r="N278" s="4">
        <f t="shared" si="61"/>
        <v>20.500000000000014</v>
      </c>
      <c r="O278" s="4">
        <f t="shared" si="61"/>
        <v>20.100000000000016</v>
      </c>
      <c r="P278" s="4">
        <f t="shared" si="61"/>
        <v>19.700000000000017</v>
      </c>
      <c r="Q278" s="4">
        <f t="shared" si="61"/>
        <v>19.300000000000018</v>
      </c>
      <c r="R278" s="4">
        <f t="shared" si="61"/>
        <v>18.90000000000002</v>
      </c>
      <c r="S278" s="4">
        <f t="shared" si="61"/>
        <v>18.500000000000021</v>
      </c>
      <c r="T278" s="4">
        <f t="shared" si="61"/>
        <v>18.100000000000023</v>
      </c>
      <c r="U278" s="4">
        <f t="shared" si="61"/>
        <v>17.800000000000022</v>
      </c>
      <c r="V278" s="4">
        <f t="shared" si="61"/>
        <v>17.500000000000021</v>
      </c>
      <c r="W278" s="4">
        <f t="shared" si="61"/>
        <v>17.200000000000021</v>
      </c>
      <c r="X278" s="4">
        <f t="shared" si="61"/>
        <v>16.90000000000002</v>
      </c>
      <c r="Y278" s="4">
        <f t="shared" si="61"/>
        <v>16.600000000000019</v>
      </c>
      <c r="Z278" s="4">
        <f t="shared" si="61"/>
        <v>16.300000000000018</v>
      </c>
      <c r="AA278" s="4">
        <f t="shared" si="61"/>
        <v>16.000000000000018</v>
      </c>
      <c r="AB278" s="4">
        <f t="shared" si="61"/>
        <v>15.700000000000017</v>
      </c>
      <c r="AC278" s="4">
        <f t="shared" si="61"/>
        <v>15.400000000000016</v>
      </c>
      <c r="AD278" s="4">
        <f t="shared" si="61"/>
        <v>15.100000000000016</v>
      </c>
      <c r="AE278" s="4">
        <f t="shared" si="61"/>
        <v>14.800000000000015</v>
      </c>
      <c r="AF278" s="4">
        <f t="shared" si="61"/>
        <v>14.500000000000014</v>
      </c>
      <c r="AG278" s="4">
        <f t="shared" si="61"/>
        <v>14.200000000000014</v>
      </c>
      <c r="AH278" s="4">
        <f t="shared" si="61"/>
        <v>13.900000000000013</v>
      </c>
      <c r="AI278" s="4">
        <f t="shared" si="61"/>
        <v>13.600000000000012</v>
      </c>
      <c r="AJ278" s="4">
        <f t="shared" si="61"/>
        <v>13.300000000000011</v>
      </c>
      <c r="AK278" s="4">
        <f t="shared" si="61"/>
        <v>13.000000000000011</v>
      </c>
    </row>
    <row r="279" spans="3:37" outlineLevel="1" x14ac:dyDescent="0.25">
      <c r="C279" s="38">
        <v>25</v>
      </c>
      <c r="D279" s="4">
        <f t="shared" si="61"/>
        <v>24.6</v>
      </c>
      <c r="E279" s="4">
        <f t="shared" si="61"/>
        <v>24.200000000000003</v>
      </c>
      <c r="F279" s="4">
        <f t="shared" si="61"/>
        <v>23.800000000000004</v>
      </c>
      <c r="G279" s="4">
        <f t="shared" si="61"/>
        <v>23.400000000000006</v>
      </c>
      <c r="H279" s="4">
        <f t="shared" si="61"/>
        <v>23.000000000000007</v>
      </c>
      <c r="I279" s="4">
        <f t="shared" si="61"/>
        <v>22.600000000000009</v>
      </c>
      <c r="J279" s="4">
        <f t="shared" si="61"/>
        <v>22.20000000000001</v>
      </c>
      <c r="K279" s="4">
        <f t="shared" si="61"/>
        <v>21.800000000000011</v>
      </c>
      <c r="L279" s="4">
        <f t="shared" si="61"/>
        <v>21.400000000000013</v>
      </c>
      <c r="M279" s="4">
        <f t="shared" si="61"/>
        <v>21.000000000000014</v>
      </c>
      <c r="N279" s="4">
        <f t="shared" si="61"/>
        <v>20.600000000000016</v>
      </c>
      <c r="O279" s="4">
        <f t="shared" si="61"/>
        <v>20.200000000000017</v>
      </c>
      <c r="P279" s="4">
        <f t="shared" si="61"/>
        <v>19.800000000000018</v>
      </c>
      <c r="Q279" s="4">
        <f t="shared" si="61"/>
        <v>19.40000000000002</v>
      </c>
      <c r="R279" s="4">
        <f t="shared" si="61"/>
        <v>19.000000000000021</v>
      </c>
      <c r="S279" s="4">
        <f t="shared" si="61"/>
        <v>18.600000000000023</v>
      </c>
      <c r="T279" s="4">
        <f t="shared" si="61"/>
        <v>18.200000000000024</v>
      </c>
      <c r="U279" s="4">
        <f t="shared" si="61"/>
        <v>17.900000000000023</v>
      </c>
      <c r="V279" s="4">
        <f t="shared" si="61"/>
        <v>17.600000000000023</v>
      </c>
      <c r="W279" s="4">
        <f t="shared" si="61"/>
        <v>17.300000000000022</v>
      </c>
      <c r="X279" s="4">
        <f t="shared" si="61"/>
        <v>17.000000000000021</v>
      </c>
      <c r="Y279" s="4">
        <f t="shared" si="61"/>
        <v>16.700000000000021</v>
      </c>
      <c r="Z279" s="4">
        <f t="shared" si="61"/>
        <v>16.40000000000002</v>
      </c>
      <c r="AA279" s="4">
        <f t="shared" si="61"/>
        <v>16.100000000000019</v>
      </c>
      <c r="AB279" s="4">
        <f t="shared" si="61"/>
        <v>15.800000000000018</v>
      </c>
      <c r="AC279" s="4">
        <f t="shared" si="61"/>
        <v>15.500000000000018</v>
      </c>
      <c r="AD279" s="4">
        <f t="shared" si="61"/>
        <v>15.200000000000017</v>
      </c>
      <c r="AE279" s="4">
        <f t="shared" si="61"/>
        <v>14.900000000000016</v>
      </c>
      <c r="AF279" s="4">
        <f t="shared" si="61"/>
        <v>14.600000000000016</v>
      </c>
      <c r="AG279" s="4">
        <f t="shared" si="61"/>
        <v>14.300000000000015</v>
      </c>
      <c r="AH279" s="4">
        <f t="shared" si="61"/>
        <v>14.000000000000014</v>
      </c>
      <c r="AI279" s="4">
        <f t="shared" si="61"/>
        <v>13.700000000000014</v>
      </c>
      <c r="AJ279" s="4">
        <f t="shared" si="61"/>
        <v>13.400000000000013</v>
      </c>
      <c r="AK279" s="4">
        <f t="shared" si="61"/>
        <v>13.100000000000012</v>
      </c>
    </row>
    <row r="280" spans="3:37" outlineLevel="1" x14ac:dyDescent="0.25">
      <c r="C280" s="38">
        <v>25.1</v>
      </c>
      <c r="D280" s="4">
        <f t="shared" si="61"/>
        <v>24.700000000000003</v>
      </c>
      <c r="E280" s="4">
        <f t="shared" si="61"/>
        <v>24.300000000000004</v>
      </c>
      <c r="F280" s="4">
        <f t="shared" si="61"/>
        <v>23.900000000000006</v>
      </c>
      <c r="G280" s="4">
        <f t="shared" si="61"/>
        <v>23.500000000000007</v>
      </c>
      <c r="H280" s="4">
        <f t="shared" si="61"/>
        <v>23.100000000000009</v>
      </c>
      <c r="I280" s="4">
        <f t="shared" si="61"/>
        <v>22.70000000000001</v>
      </c>
      <c r="J280" s="4">
        <f t="shared" si="61"/>
        <v>22.300000000000011</v>
      </c>
      <c r="K280" s="4">
        <f t="shared" si="61"/>
        <v>21.900000000000013</v>
      </c>
      <c r="L280" s="4">
        <f t="shared" si="61"/>
        <v>21.500000000000014</v>
      </c>
      <c r="M280" s="4">
        <f t="shared" si="61"/>
        <v>21.100000000000016</v>
      </c>
      <c r="N280" s="4">
        <f t="shared" si="61"/>
        <v>20.700000000000017</v>
      </c>
      <c r="O280" s="4">
        <f t="shared" si="61"/>
        <v>20.300000000000018</v>
      </c>
      <c r="P280" s="4">
        <f t="shared" si="61"/>
        <v>19.90000000000002</v>
      </c>
      <c r="Q280" s="4">
        <f t="shared" si="61"/>
        <v>19.500000000000021</v>
      </c>
      <c r="R280" s="4">
        <f t="shared" si="61"/>
        <v>19.100000000000023</v>
      </c>
      <c r="S280" s="4">
        <f t="shared" si="61"/>
        <v>18.700000000000024</v>
      </c>
      <c r="T280" s="4">
        <f t="shared" si="61"/>
        <v>18.300000000000026</v>
      </c>
      <c r="U280" s="4">
        <f t="shared" ref="U280:AK280" si="62">(IF(T280&lt;=4.4,T280-$E$6,IF(AND(T280&gt;=4.5,T280&lt;=11.4),T280-$E$7,IF(AND(T280&gt;=11.5,T280&lt;=18.4),T280-$E$8,IF(AND(T280&gt;=18.5,T280&lt;=26.4),T280-$E$9,IF(AND(T280&gt;=26.4,T280&lt;=36),T280-$E$10,IF(T280&gt;=37,T280-$E$11)))))))</f>
        <v>18.000000000000025</v>
      </c>
      <c r="V280" s="4">
        <f t="shared" si="62"/>
        <v>17.700000000000024</v>
      </c>
      <c r="W280" s="4">
        <f t="shared" si="62"/>
        <v>17.400000000000023</v>
      </c>
      <c r="X280" s="4">
        <f t="shared" si="62"/>
        <v>17.100000000000023</v>
      </c>
      <c r="Y280" s="4">
        <f t="shared" si="62"/>
        <v>16.800000000000022</v>
      </c>
      <c r="Z280" s="4">
        <f t="shared" si="62"/>
        <v>16.500000000000021</v>
      </c>
      <c r="AA280" s="4">
        <f t="shared" si="62"/>
        <v>16.200000000000021</v>
      </c>
      <c r="AB280" s="4">
        <f t="shared" si="62"/>
        <v>15.90000000000002</v>
      </c>
      <c r="AC280" s="4">
        <f t="shared" si="62"/>
        <v>15.600000000000019</v>
      </c>
      <c r="AD280" s="4">
        <f t="shared" si="62"/>
        <v>15.300000000000018</v>
      </c>
      <c r="AE280" s="4">
        <f t="shared" si="62"/>
        <v>15.000000000000018</v>
      </c>
      <c r="AF280" s="4">
        <f t="shared" si="62"/>
        <v>14.700000000000017</v>
      </c>
      <c r="AG280" s="4">
        <f t="shared" si="62"/>
        <v>14.400000000000016</v>
      </c>
      <c r="AH280" s="4">
        <f t="shared" si="62"/>
        <v>14.100000000000016</v>
      </c>
      <c r="AI280" s="4">
        <f t="shared" si="62"/>
        <v>13.800000000000015</v>
      </c>
      <c r="AJ280" s="4">
        <f t="shared" si="62"/>
        <v>13.500000000000014</v>
      </c>
      <c r="AK280" s="4">
        <f t="shared" si="62"/>
        <v>13.200000000000014</v>
      </c>
    </row>
    <row r="281" spans="3:37" outlineLevel="1" x14ac:dyDescent="0.25">
      <c r="C281" s="38">
        <v>25.2</v>
      </c>
      <c r="D281" s="4">
        <f t="shared" ref="D281:AK288" si="63">(IF(C281&lt;=4.4,C281-$E$6,IF(AND(C281&gt;=4.5,C281&lt;=11.4),C281-$E$7,IF(AND(C281&gt;=11.5,C281&lt;=18.4),C281-$E$8,IF(AND(C281&gt;=18.5,C281&lt;=26.4),C281-$E$9,IF(AND(C281&gt;=26.4,C281&lt;=36),C281-$E$10,IF(C281&gt;=37,C281-$E$11)))))))</f>
        <v>24.8</v>
      </c>
      <c r="E281" s="4">
        <f t="shared" si="63"/>
        <v>24.400000000000002</v>
      </c>
      <c r="F281" s="4">
        <f t="shared" si="63"/>
        <v>24.000000000000004</v>
      </c>
      <c r="G281" s="4">
        <f t="shared" si="63"/>
        <v>23.600000000000005</v>
      </c>
      <c r="H281" s="4">
        <f t="shared" si="63"/>
        <v>23.200000000000006</v>
      </c>
      <c r="I281" s="4">
        <f t="shared" si="63"/>
        <v>22.800000000000008</v>
      </c>
      <c r="J281" s="4">
        <f t="shared" si="63"/>
        <v>22.400000000000009</v>
      </c>
      <c r="K281" s="4">
        <f t="shared" si="63"/>
        <v>22.000000000000011</v>
      </c>
      <c r="L281" s="4">
        <f t="shared" si="63"/>
        <v>21.600000000000012</v>
      </c>
      <c r="M281" s="4">
        <f t="shared" si="63"/>
        <v>21.200000000000014</v>
      </c>
      <c r="N281" s="4">
        <f t="shared" si="63"/>
        <v>20.800000000000015</v>
      </c>
      <c r="O281" s="4">
        <f t="shared" si="63"/>
        <v>20.400000000000016</v>
      </c>
      <c r="P281" s="4">
        <f t="shared" si="63"/>
        <v>20.000000000000018</v>
      </c>
      <c r="Q281" s="4">
        <f t="shared" si="63"/>
        <v>19.600000000000019</v>
      </c>
      <c r="R281" s="4">
        <f t="shared" si="63"/>
        <v>19.200000000000021</v>
      </c>
      <c r="S281" s="4">
        <f t="shared" si="63"/>
        <v>18.800000000000022</v>
      </c>
      <c r="T281" s="4">
        <f t="shared" si="63"/>
        <v>18.400000000000023</v>
      </c>
      <c r="U281" s="4">
        <f t="shared" si="63"/>
        <v>18.100000000000023</v>
      </c>
      <c r="V281" s="4">
        <f t="shared" si="63"/>
        <v>17.800000000000022</v>
      </c>
      <c r="W281" s="4">
        <f t="shared" si="63"/>
        <v>17.500000000000021</v>
      </c>
      <c r="X281" s="4">
        <f t="shared" si="63"/>
        <v>17.200000000000021</v>
      </c>
      <c r="Y281" s="4">
        <f t="shared" si="63"/>
        <v>16.90000000000002</v>
      </c>
      <c r="Z281" s="4">
        <f t="shared" si="63"/>
        <v>16.600000000000019</v>
      </c>
      <c r="AA281" s="4">
        <f t="shared" si="63"/>
        <v>16.300000000000018</v>
      </c>
      <c r="AB281" s="4">
        <f t="shared" si="63"/>
        <v>16.000000000000018</v>
      </c>
      <c r="AC281" s="4">
        <f t="shared" si="63"/>
        <v>15.700000000000017</v>
      </c>
      <c r="AD281" s="4">
        <f t="shared" si="63"/>
        <v>15.400000000000016</v>
      </c>
      <c r="AE281" s="4">
        <f t="shared" si="63"/>
        <v>15.100000000000016</v>
      </c>
      <c r="AF281" s="4">
        <f t="shared" si="63"/>
        <v>14.800000000000015</v>
      </c>
      <c r="AG281" s="4">
        <f t="shared" si="63"/>
        <v>14.500000000000014</v>
      </c>
      <c r="AH281" s="4">
        <f t="shared" si="63"/>
        <v>14.200000000000014</v>
      </c>
      <c r="AI281" s="4">
        <f t="shared" si="63"/>
        <v>13.900000000000013</v>
      </c>
      <c r="AJ281" s="4">
        <f t="shared" si="63"/>
        <v>13.600000000000012</v>
      </c>
      <c r="AK281" s="4">
        <f t="shared" si="63"/>
        <v>13.300000000000011</v>
      </c>
    </row>
    <row r="282" spans="3:37" outlineLevel="1" x14ac:dyDescent="0.25">
      <c r="C282" s="38">
        <v>25.3</v>
      </c>
      <c r="D282" s="4">
        <f t="shared" si="63"/>
        <v>24.900000000000002</v>
      </c>
      <c r="E282" s="4">
        <f t="shared" si="63"/>
        <v>24.500000000000004</v>
      </c>
      <c r="F282" s="4">
        <f t="shared" si="63"/>
        <v>24.100000000000005</v>
      </c>
      <c r="G282" s="4">
        <f t="shared" si="63"/>
        <v>23.700000000000006</v>
      </c>
      <c r="H282" s="4">
        <f t="shared" si="63"/>
        <v>23.300000000000008</v>
      </c>
      <c r="I282" s="4">
        <f t="shared" si="63"/>
        <v>22.900000000000009</v>
      </c>
      <c r="J282" s="4">
        <f t="shared" si="63"/>
        <v>22.500000000000011</v>
      </c>
      <c r="K282" s="4">
        <f t="shared" si="63"/>
        <v>22.100000000000012</v>
      </c>
      <c r="L282" s="4">
        <f t="shared" si="63"/>
        <v>21.700000000000014</v>
      </c>
      <c r="M282" s="4">
        <f t="shared" si="63"/>
        <v>21.300000000000015</v>
      </c>
      <c r="N282" s="4">
        <f t="shared" si="63"/>
        <v>20.900000000000016</v>
      </c>
      <c r="O282" s="4">
        <f t="shared" si="63"/>
        <v>20.500000000000018</v>
      </c>
      <c r="P282" s="4">
        <f t="shared" si="63"/>
        <v>20.100000000000019</v>
      </c>
      <c r="Q282" s="4">
        <f t="shared" si="63"/>
        <v>19.700000000000021</v>
      </c>
      <c r="R282" s="4">
        <f t="shared" si="63"/>
        <v>19.300000000000022</v>
      </c>
      <c r="S282" s="4">
        <f t="shared" si="63"/>
        <v>18.900000000000023</v>
      </c>
      <c r="T282" s="4">
        <f t="shared" si="63"/>
        <v>18.500000000000025</v>
      </c>
      <c r="U282" s="4">
        <f t="shared" si="63"/>
        <v>18.100000000000026</v>
      </c>
      <c r="V282" s="4">
        <f t="shared" si="63"/>
        <v>17.800000000000026</v>
      </c>
      <c r="W282" s="4">
        <f t="shared" si="63"/>
        <v>17.500000000000025</v>
      </c>
      <c r="X282" s="4">
        <f t="shared" si="63"/>
        <v>17.200000000000024</v>
      </c>
      <c r="Y282" s="4">
        <f t="shared" si="63"/>
        <v>16.900000000000023</v>
      </c>
      <c r="Z282" s="4">
        <f t="shared" si="63"/>
        <v>16.600000000000023</v>
      </c>
      <c r="AA282" s="4">
        <f t="shared" si="63"/>
        <v>16.300000000000022</v>
      </c>
      <c r="AB282" s="4">
        <f t="shared" si="63"/>
        <v>16.000000000000021</v>
      </c>
      <c r="AC282" s="4">
        <f t="shared" si="63"/>
        <v>15.700000000000021</v>
      </c>
      <c r="AD282" s="4">
        <f t="shared" si="63"/>
        <v>15.40000000000002</v>
      </c>
      <c r="AE282" s="4">
        <f t="shared" si="63"/>
        <v>15.100000000000019</v>
      </c>
      <c r="AF282" s="4">
        <f t="shared" si="63"/>
        <v>14.800000000000018</v>
      </c>
      <c r="AG282" s="4">
        <f t="shared" si="63"/>
        <v>14.500000000000018</v>
      </c>
      <c r="AH282" s="4">
        <f t="shared" si="63"/>
        <v>14.200000000000017</v>
      </c>
      <c r="AI282" s="4">
        <f t="shared" si="63"/>
        <v>13.900000000000016</v>
      </c>
      <c r="AJ282" s="4">
        <f t="shared" si="63"/>
        <v>13.600000000000016</v>
      </c>
      <c r="AK282" s="4">
        <f t="shared" si="63"/>
        <v>13.300000000000015</v>
      </c>
    </row>
    <row r="283" spans="3:37" outlineLevel="1" x14ac:dyDescent="0.25">
      <c r="C283" s="38">
        <v>25.4</v>
      </c>
      <c r="D283" s="4">
        <f t="shared" si="63"/>
        <v>25</v>
      </c>
      <c r="E283" s="4">
        <f t="shared" si="63"/>
        <v>24.6</v>
      </c>
      <c r="F283" s="4">
        <f t="shared" si="63"/>
        <v>24.200000000000003</v>
      </c>
      <c r="G283" s="4">
        <f t="shared" si="63"/>
        <v>23.800000000000004</v>
      </c>
      <c r="H283" s="4">
        <f t="shared" si="63"/>
        <v>23.400000000000006</v>
      </c>
      <c r="I283" s="4">
        <f t="shared" si="63"/>
        <v>23.000000000000007</v>
      </c>
      <c r="J283" s="4">
        <f t="shared" si="63"/>
        <v>22.600000000000009</v>
      </c>
      <c r="K283" s="4">
        <f t="shared" si="63"/>
        <v>22.20000000000001</v>
      </c>
      <c r="L283" s="4">
        <f t="shared" si="63"/>
        <v>21.800000000000011</v>
      </c>
      <c r="M283" s="4">
        <f t="shared" si="63"/>
        <v>21.400000000000013</v>
      </c>
      <c r="N283" s="4">
        <f t="shared" si="63"/>
        <v>21.000000000000014</v>
      </c>
      <c r="O283" s="4">
        <f t="shared" si="63"/>
        <v>20.600000000000016</v>
      </c>
      <c r="P283" s="4">
        <f t="shared" si="63"/>
        <v>20.200000000000017</v>
      </c>
      <c r="Q283" s="4">
        <f t="shared" si="63"/>
        <v>19.800000000000018</v>
      </c>
      <c r="R283" s="4">
        <f t="shared" si="63"/>
        <v>19.40000000000002</v>
      </c>
      <c r="S283" s="4">
        <f t="shared" si="63"/>
        <v>19.000000000000021</v>
      </c>
      <c r="T283" s="4">
        <f t="shared" si="63"/>
        <v>18.600000000000023</v>
      </c>
      <c r="U283" s="4">
        <f t="shared" si="63"/>
        <v>18.200000000000024</v>
      </c>
      <c r="V283" s="4">
        <f t="shared" si="63"/>
        <v>17.900000000000023</v>
      </c>
      <c r="W283" s="4">
        <f t="shared" si="63"/>
        <v>17.600000000000023</v>
      </c>
      <c r="X283" s="4">
        <f t="shared" si="63"/>
        <v>17.300000000000022</v>
      </c>
      <c r="Y283" s="4">
        <f t="shared" si="63"/>
        <v>17.000000000000021</v>
      </c>
      <c r="Z283" s="4">
        <f t="shared" si="63"/>
        <v>16.700000000000021</v>
      </c>
      <c r="AA283" s="4">
        <f t="shared" si="63"/>
        <v>16.40000000000002</v>
      </c>
      <c r="AB283" s="4">
        <f t="shared" si="63"/>
        <v>16.100000000000019</v>
      </c>
      <c r="AC283" s="4">
        <f t="shared" si="63"/>
        <v>15.800000000000018</v>
      </c>
      <c r="AD283" s="4">
        <f t="shared" si="63"/>
        <v>15.500000000000018</v>
      </c>
      <c r="AE283" s="4">
        <f t="shared" si="63"/>
        <v>15.200000000000017</v>
      </c>
      <c r="AF283" s="4">
        <f t="shared" si="63"/>
        <v>14.900000000000016</v>
      </c>
      <c r="AG283" s="4">
        <f t="shared" si="63"/>
        <v>14.600000000000016</v>
      </c>
      <c r="AH283" s="4">
        <f t="shared" si="63"/>
        <v>14.300000000000015</v>
      </c>
      <c r="AI283" s="4">
        <f t="shared" si="63"/>
        <v>14.000000000000014</v>
      </c>
      <c r="AJ283" s="4">
        <f t="shared" si="63"/>
        <v>13.700000000000014</v>
      </c>
      <c r="AK283" s="4">
        <f t="shared" si="63"/>
        <v>13.400000000000013</v>
      </c>
    </row>
    <row r="284" spans="3:37" outlineLevel="1" x14ac:dyDescent="0.25">
      <c r="C284" s="38">
        <v>25.5</v>
      </c>
      <c r="D284" s="4">
        <f t="shared" si="63"/>
        <v>25.1</v>
      </c>
      <c r="E284" s="4">
        <f t="shared" si="63"/>
        <v>24.700000000000003</v>
      </c>
      <c r="F284" s="4">
        <f t="shared" si="63"/>
        <v>24.300000000000004</v>
      </c>
      <c r="G284" s="4">
        <f t="shared" si="63"/>
        <v>23.900000000000006</v>
      </c>
      <c r="H284" s="4">
        <f t="shared" si="63"/>
        <v>23.500000000000007</v>
      </c>
      <c r="I284" s="4">
        <f t="shared" si="63"/>
        <v>23.100000000000009</v>
      </c>
      <c r="J284" s="4">
        <f t="shared" si="63"/>
        <v>22.70000000000001</v>
      </c>
      <c r="K284" s="4">
        <f t="shared" si="63"/>
        <v>22.300000000000011</v>
      </c>
      <c r="L284" s="4">
        <f t="shared" si="63"/>
        <v>21.900000000000013</v>
      </c>
      <c r="M284" s="4">
        <f t="shared" si="63"/>
        <v>21.500000000000014</v>
      </c>
      <c r="N284" s="4">
        <f t="shared" si="63"/>
        <v>21.100000000000016</v>
      </c>
      <c r="O284" s="4">
        <f t="shared" si="63"/>
        <v>20.700000000000017</v>
      </c>
      <c r="P284" s="4">
        <f t="shared" si="63"/>
        <v>20.300000000000018</v>
      </c>
      <c r="Q284" s="4">
        <f t="shared" si="63"/>
        <v>19.90000000000002</v>
      </c>
      <c r="R284" s="4">
        <f t="shared" si="63"/>
        <v>19.500000000000021</v>
      </c>
      <c r="S284" s="4">
        <f t="shared" si="63"/>
        <v>19.100000000000023</v>
      </c>
      <c r="T284" s="4">
        <f t="shared" si="63"/>
        <v>18.700000000000024</v>
      </c>
      <c r="U284" s="4">
        <f t="shared" si="63"/>
        <v>18.300000000000026</v>
      </c>
      <c r="V284" s="4">
        <f t="shared" si="63"/>
        <v>18.000000000000025</v>
      </c>
      <c r="W284" s="4">
        <f t="shared" si="63"/>
        <v>17.700000000000024</v>
      </c>
      <c r="X284" s="4">
        <f t="shared" si="63"/>
        <v>17.400000000000023</v>
      </c>
      <c r="Y284" s="4">
        <f t="shared" si="63"/>
        <v>17.100000000000023</v>
      </c>
      <c r="Z284" s="4">
        <f t="shared" si="63"/>
        <v>16.800000000000022</v>
      </c>
      <c r="AA284" s="4">
        <f t="shared" si="63"/>
        <v>16.500000000000021</v>
      </c>
      <c r="AB284" s="4">
        <f t="shared" si="63"/>
        <v>16.200000000000021</v>
      </c>
      <c r="AC284" s="4">
        <f t="shared" si="63"/>
        <v>15.90000000000002</v>
      </c>
      <c r="AD284" s="4">
        <f t="shared" si="63"/>
        <v>15.600000000000019</v>
      </c>
      <c r="AE284" s="4">
        <f t="shared" si="63"/>
        <v>15.300000000000018</v>
      </c>
      <c r="AF284" s="4">
        <f t="shared" si="63"/>
        <v>15.000000000000018</v>
      </c>
      <c r="AG284" s="4">
        <f t="shared" si="63"/>
        <v>14.700000000000017</v>
      </c>
      <c r="AH284" s="4">
        <f t="shared" si="63"/>
        <v>14.400000000000016</v>
      </c>
      <c r="AI284" s="4">
        <f t="shared" si="63"/>
        <v>14.100000000000016</v>
      </c>
      <c r="AJ284" s="4">
        <f t="shared" si="63"/>
        <v>13.800000000000015</v>
      </c>
      <c r="AK284" s="4">
        <f t="shared" si="63"/>
        <v>13.500000000000014</v>
      </c>
    </row>
    <row r="285" spans="3:37" outlineLevel="1" x14ac:dyDescent="0.25">
      <c r="C285" s="38">
        <v>25.6</v>
      </c>
      <c r="D285" s="4">
        <f t="shared" si="63"/>
        <v>25.200000000000003</v>
      </c>
      <c r="E285" s="4">
        <f t="shared" si="63"/>
        <v>24.800000000000004</v>
      </c>
      <c r="F285" s="4">
        <f t="shared" si="63"/>
        <v>24.400000000000006</v>
      </c>
      <c r="G285" s="4">
        <f t="shared" si="63"/>
        <v>24.000000000000007</v>
      </c>
      <c r="H285" s="4">
        <f t="shared" si="63"/>
        <v>23.600000000000009</v>
      </c>
      <c r="I285" s="4">
        <f t="shared" si="63"/>
        <v>23.20000000000001</v>
      </c>
      <c r="J285" s="4">
        <f t="shared" si="63"/>
        <v>22.800000000000011</v>
      </c>
      <c r="K285" s="4">
        <f t="shared" si="63"/>
        <v>22.400000000000013</v>
      </c>
      <c r="L285" s="4">
        <f t="shared" si="63"/>
        <v>22.000000000000014</v>
      </c>
      <c r="M285" s="4">
        <f t="shared" si="63"/>
        <v>21.600000000000016</v>
      </c>
      <c r="N285" s="4">
        <f t="shared" si="63"/>
        <v>21.200000000000017</v>
      </c>
      <c r="O285" s="4">
        <f t="shared" si="63"/>
        <v>20.800000000000018</v>
      </c>
      <c r="P285" s="4">
        <f t="shared" si="63"/>
        <v>20.40000000000002</v>
      </c>
      <c r="Q285" s="4">
        <f t="shared" si="63"/>
        <v>20.000000000000021</v>
      </c>
      <c r="R285" s="4">
        <f t="shared" si="63"/>
        <v>19.600000000000023</v>
      </c>
      <c r="S285" s="4">
        <f t="shared" si="63"/>
        <v>19.200000000000024</v>
      </c>
      <c r="T285" s="4">
        <f t="shared" si="63"/>
        <v>18.800000000000026</v>
      </c>
      <c r="U285" s="4">
        <f t="shared" si="63"/>
        <v>18.400000000000027</v>
      </c>
      <c r="V285" s="4">
        <f t="shared" si="63"/>
        <v>18.100000000000026</v>
      </c>
      <c r="W285" s="4">
        <f t="shared" si="63"/>
        <v>17.800000000000026</v>
      </c>
      <c r="X285" s="4">
        <f t="shared" si="63"/>
        <v>17.500000000000025</v>
      </c>
      <c r="Y285" s="4">
        <f t="shared" si="63"/>
        <v>17.200000000000024</v>
      </c>
      <c r="Z285" s="4">
        <f t="shared" si="63"/>
        <v>16.900000000000023</v>
      </c>
      <c r="AA285" s="4">
        <f t="shared" si="63"/>
        <v>16.600000000000023</v>
      </c>
      <c r="AB285" s="4">
        <f t="shared" si="63"/>
        <v>16.300000000000022</v>
      </c>
      <c r="AC285" s="4">
        <f t="shared" si="63"/>
        <v>16.000000000000021</v>
      </c>
      <c r="AD285" s="4">
        <f t="shared" si="63"/>
        <v>15.700000000000021</v>
      </c>
      <c r="AE285" s="4">
        <f t="shared" si="63"/>
        <v>15.40000000000002</v>
      </c>
      <c r="AF285" s="4">
        <f t="shared" si="63"/>
        <v>15.100000000000019</v>
      </c>
      <c r="AG285" s="4">
        <f t="shared" si="63"/>
        <v>14.800000000000018</v>
      </c>
      <c r="AH285" s="4">
        <f t="shared" si="63"/>
        <v>14.500000000000018</v>
      </c>
      <c r="AI285" s="4">
        <f t="shared" si="63"/>
        <v>14.200000000000017</v>
      </c>
      <c r="AJ285" s="4">
        <f t="shared" si="63"/>
        <v>13.900000000000016</v>
      </c>
      <c r="AK285" s="4">
        <f t="shared" si="63"/>
        <v>13.600000000000016</v>
      </c>
    </row>
    <row r="286" spans="3:37" outlineLevel="1" x14ac:dyDescent="0.25">
      <c r="C286" s="38">
        <v>25.7</v>
      </c>
      <c r="D286" s="4">
        <f t="shared" si="63"/>
        <v>25.3</v>
      </c>
      <c r="E286" s="4">
        <f t="shared" si="63"/>
        <v>24.900000000000002</v>
      </c>
      <c r="F286" s="4">
        <f t="shared" si="63"/>
        <v>24.500000000000004</v>
      </c>
      <c r="G286" s="4">
        <f t="shared" si="63"/>
        <v>24.100000000000005</v>
      </c>
      <c r="H286" s="4">
        <f t="shared" si="63"/>
        <v>23.700000000000006</v>
      </c>
      <c r="I286" s="4">
        <f t="shared" si="63"/>
        <v>23.300000000000008</v>
      </c>
      <c r="J286" s="4">
        <f t="shared" si="63"/>
        <v>22.900000000000009</v>
      </c>
      <c r="K286" s="4">
        <f t="shared" si="63"/>
        <v>22.500000000000011</v>
      </c>
      <c r="L286" s="4">
        <f t="shared" si="63"/>
        <v>22.100000000000012</v>
      </c>
      <c r="M286" s="4">
        <f t="shared" si="63"/>
        <v>21.700000000000014</v>
      </c>
      <c r="N286" s="4">
        <f t="shared" si="63"/>
        <v>21.300000000000015</v>
      </c>
      <c r="O286" s="4">
        <f t="shared" si="63"/>
        <v>20.900000000000016</v>
      </c>
      <c r="P286" s="4">
        <f t="shared" si="63"/>
        <v>20.500000000000018</v>
      </c>
      <c r="Q286" s="4">
        <f t="shared" si="63"/>
        <v>20.100000000000019</v>
      </c>
      <c r="R286" s="4">
        <f t="shared" si="63"/>
        <v>19.700000000000021</v>
      </c>
      <c r="S286" s="4">
        <f t="shared" si="63"/>
        <v>19.300000000000022</v>
      </c>
      <c r="T286" s="4">
        <f t="shared" si="63"/>
        <v>18.900000000000023</v>
      </c>
      <c r="U286" s="4">
        <f t="shared" si="63"/>
        <v>18.500000000000025</v>
      </c>
      <c r="V286" s="4">
        <f t="shared" si="63"/>
        <v>18.100000000000026</v>
      </c>
      <c r="W286" s="4">
        <f t="shared" si="63"/>
        <v>17.800000000000026</v>
      </c>
      <c r="X286" s="4">
        <f t="shared" si="63"/>
        <v>17.500000000000025</v>
      </c>
      <c r="Y286" s="4">
        <f t="shared" si="63"/>
        <v>17.200000000000024</v>
      </c>
      <c r="Z286" s="4">
        <f t="shared" si="63"/>
        <v>16.900000000000023</v>
      </c>
      <c r="AA286" s="4">
        <f t="shared" si="63"/>
        <v>16.600000000000023</v>
      </c>
      <c r="AB286" s="4">
        <f t="shared" si="63"/>
        <v>16.300000000000022</v>
      </c>
      <c r="AC286" s="4">
        <f t="shared" si="63"/>
        <v>16.000000000000021</v>
      </c>
      <c r="AD286" s="4">
        <f t="shared" si="63"/>
        <v>15.700000000000021</v>
      </c>
      <c r="AE286" s="4">
        <f t="shared" si="63"/>
        <v>15.40000000000002</v>
      </c>
      <c r="AF286" s="4">
        <f t="shared" si="63"/>
        <v>15.100000000000019</v>
      </c>
      <c r="AG286" s="4">
        <f t="shared" si="63"/>
        <v>14.800000000000018</v>
      </c>
      <c r="AH286" s="4">
        <f t="shared" si="63"/>
        <v>14.500000000000018</v>
      </c>
      <c r="AI286" s="4">
        <f t="shared" si="63"/>
        <v>14.200000000000017</v>
      </c>
      <c r="AJ286" s="4">
        <f t="shared" si="63"/>
        <v>13.900000000000016</v>
      </c>
      <c r="AK286" s="4">
        <f t="shared" si="63"/>
        <v>13.600000000000016</v>
      </c>
    </row>
    <row r="287" spans="3:37" outlineLevel="1" x14ac:dyDescent="0.25">
      <c r="C287" s="38">
        <v>25.8</v>
      </c>
      <c r="D287" s="4">
        <f t="shared" si="63"/>
        <v>25.400000000000002</v>
      </c>
      <c r="E287" s="4">
        <f t="shared" si="63"/>
        <v>25.000000000000004</v>
      </c>
      <c r="F287" s="4">
        <f t="shared" si="63"/>
        <v>24.600000000000005</v>
      </c>
      <c r="G287" s="4">
        <f t="shared" si="63"/>
        <v>24.200000000000006</v>
      </c>
      <c r="H287" s="4">
        <f t="shared" si="63"/>
        <v>23.800000000000008</v>
      </c>
      <c r="I287" s="4">
        <f t="shared" si="63"/>
        <v>23.400000000000009</v>
      </c>
      <c r="J287" s="4">
        <f t="shared" si="63"/>
        <v>23.000000000000011</v>
      </c>
      <c r="K287" s="4">
        <f t="shared" si="63"/>
        <v>22.600000000000012</v>
      </c>
      <c r="L287" s="4">
        <f t="shared" si="63"/>
        <v>22.200000000000014</v>
      </c>
      <c r="M287" s="4">
        <f t="shared" si="63"/>
        <v>21.800000000000015</v>
      </c>
      <c r="N287" s="4">
        <f t="shared" si="63"/>
        <v>21.400000000000016</v>
      </c>
      <c r="O287" s="4">
        <f t="shared" si="63"/>
        <v>21.000000000000018</v>
      </c>
      <c r="P287" s="4">
        <f t="shared" si="63"/>
        <v>20.600000000000019</v>
      </c>
      <c r="Q287" s="4">
        <f t="shared" si="63"/>
        <v>20.200000000000021</v>
      </c>
      <c r="R287" s="4">
        <f t="shared" si="63"/>
        <v>19.800000000000022</v>
      </c>
      <c r="S287" s="4">
        <f t="shared" si="63"/>
        <v>19.400000000000023</v>
      </c>
      <c r="T287" s="4">
        <f t="shared" si="63"/>
        <v>19.000000000000025</v>
      </c>
      <c r="U287" s="4">
        <f t="shared" si="63"/>
        <v>18.600000000000026</v>
      </c>
      <c r="V287" s="4">
        <f t="shared" si="63"/>
        <v>18.200000000000028</v>
      </c>
      <c r="W287" s="4">
        <f t="shared" si="63"/>
        <v>17.900000000000027</v>
      </c>
      <c r="X287" s="4">
        <f t="shared" si="63"/>
        <v>17.600000000000026</v>
      </c>
      <c r="Y287" s="4">
        <f t="shared" si="63"/>
        <v>17.300000000000026</v>
      </c>
      <c r="Z287" s="4">
        <f t="shared" si="63"/>
        <v>17.000000000000025</v>
      </c>
      <c r="AA287" s="4">
        <f t="shared" si="63"/>
        <v>16.700000000000024</v>
      </c>
      <c r="AB287" s="4">
        <f t="shared" si="63"/>
        <v>16.400000000000023</v>
      </c>
      <c r="AC287" s="4">
        <f t="shared" si="63"/>
        <v>16.100000000000023</v>
      </c>
      <c r="AD287" s="4">
        <f t="shared" si="63"/>
        <v>15.800000000000022</v>
      </c>
      <c r="AE287" s="4">
        <f t="shared" si="63"/>
        <v>15.500000000000021</v>
      </c>
      <c r="AF287" s="4">
        <f t="shared" si="63"/>
        <v>15.200000000000021</v>
      </c>
      <c r="AG287" s="4">
        <f t="shared" si="63"/>
        <v>14.90000000000002</v>
      </c>
      <c r="AH287" s="4">
        <f t="shared" si="63"/>
        <v>14.600000000000019</v>
      </c>
      <c r="AI287" s="4">
        <f t="shared" si="63"/>
        <v>14.300000000000018</v>
      </c>
      <c r="AJ287" s="4">
        <f t="shared" si="63"/>
        <v>14.000000000000018</v>
      </c>
      <c r="AK287" s="4">
        <f t="shared" si="63"/>
        <v>13.700000000000017</v>
      </c>
    </row>
    <row r="288" spans="3:37" outlineLevel="1" x14ac:dyDescent="0.25">
      <c r="C288" s="38">
        <v>25.9</v>
      </c>
      <c r="D288" s="4">
        <f t="shared" si="63"/>
        <v>25.5</v>
      </c>
      <c r="E288" s="4">
        <f t="shared" si="63"/>
        <v>25.1</v>
      </c>
      <c r="F288" s="4">
        <f t="shared" si="63"/>
        <v>24.700000000000003</v>
      </c>
      <c r="G288" s="4">
        <f t="shared" si="63"/>
        <v>24.300000000000004</v>
      </c>
      <c r="H288" s="4">
        <f t="shared" si="63"/>
        <v>23.900000000000006</v>
      </c>
      <c r="I288" s="4">
        <f t="shared" si="63"/>
        <v>23.500000000000007</v>
      </c>
      <c r="J288" s="4">
        <f t="shared" si="63"/>
        <v>23.100000000000009</v>
      </c>
      <c r="K288" s="4">
        <f t="shared" si="63"/>
        <v>22.70000000000001</v>
      </c>
      <c r="L288" s="4">
        <f t="shared" si="63"/>
        <v>22.300000000000011</v>
      </c>
      <c r="M288" s="4">
        <f t="shared" si="63"/>
        <v>21.900000000000013</v>
      </c>
      <c r="N288" s="4">
        <f t="shared" si="63"/>
        <v>21.500000000000014</v>
      </c>
      <c r="O288" s="4">
        <f t="shared" si="63"/>
        <v>21.100000000000016</v>
      </c>
      <c r="P288" s="4">
        <f t="shared" si="63"/>
        <v>20.700000000000017</v>
      </c>
      <c r="Q288" s="4">
        <f t="shared" si="63"/>
        <v>20.300000000000018</v>
      </c>
      <c r="R288" s="4">
        <f t="shared" si="63"/>
        <v>19.90000000000002</v>
      </c>
      <c r="S288" s="4">
        <f t="shared" si="63"/>
        <v>19.500000000000021</v>
      </c>
      <c r="T288" s="4">
        <f t="shared" si="63"/>
        <v>19.100000000000023</v>
      </c>
      <c r="U288" s="4">
        <f t="shared" ref="U288:AK288" si="64">(IF(T288&lt;=4.4,T288-$E$6,IF(AND(T288&gt;=4.5,T288&lt;=11.4),T288-$E$7,IF(AND(T288&gt;=11.5,T288&lt;=18.4),T288-$E$8,IF(AND(T288&gt;=18.5,T288&lt;=26.4),T288-$E$9,IF(AND(T288&gt;=26.4,T288&lt;=36),T288-$E$10,IF(T288&gt;=37,T288-$E$11)))))))</f>
        <v>18.700000000000024</v>
      </c>
      <c r="V288" s="4">
        <f t="shared" si="64"/>
        <v>18.300000000000026</v>
      </c>
      <c r="W288" s="4">
        <f t="shared" si="64"/>
        <v>18.000000000000025</v>
      </c>
      <c r="X288" s="4">
        <f t="shared" si="64"/>
        <v>17.700000000000024</v>
      </c>
      <c r="Y288" s="4">
        <f t="shared" si="64"/>
        <v>17.400000000000023</v>
      </c>
      <c r="Z288" s="4">
        <f t="shared" si="64"/>
        <v>17.100000000000023</v>
      </c>
      <c r="AA288" s="4">
        <f t="shared" si="64"/>
        <v>16.800000000000022</v>
      </c>
      <c r="AB288" s="4">
        <f t="shared" si="64"/>
        <v>16.500000000000021</v>
      </c>
      <c r="AC288" s="4">
        <f t="shared" si="64"/>
        <v>16.200000000000021</v>
      </c>
      <c r="AD288" s="4">
        <f t="shared" si="64"/>
        <v>15.90000000000002</v>
      </c>
      <c r="AE288" s="4">
        <f t="shared" si="64"/>
        <v>15.600000000000019</v>
      </c>
      <c r="AF288" s="4">
        <f t="shared" si="64"/>
        <v>15.300000000000018</v>
      </c>
      <c r="AG288" s="4">
        <f t="shared" si="64"/>
        <v>15.000000000000018</v>
      </c>
      <c r="AH288" s="4">
        <f t="shared" si="64"/>
        <v>14.700000000000017</v>
      </c>
      <c r="AI288" s="4">
        <f t="shared" si="64"/>
        <v>14.400000000000016</v>
      </c>
      <c r="AJ288" s="4">
        <f t="shared" si="64"/>
        <v>14.100000000000016</v>
      </c>
      <c r="AK288" s="4">
        <f t="shared" si="64"/>
        <v>13.800000000000015</v>
      </c>
    </row>
    <row r="289" spans="3:37" outlineLevel="1" x14ac:dyDescent="0.25">
      <c r="C289" s="38">
        <v>26</v>
      </c>
      <c r="D289" s="4">
        <f t="shared" ref="D289:AK296" si="65">(IF(C289&lt;=4.4,C289-$E$6,IF(AND(C289&gt;=4.5,C289&lt;=11.4),C289-$E$7,IF(AND(C289&gt;=11.5,C289&lt;=18.4),C289-$E$8,IF(AND(C289&gt;=18.5,C289&lt;=26.4),C289-$E$9,IF(AND(C289&gt;=26.4,C289&lt;=36),C289-$E$10,IF(C289&gt;=37,C289-$E$11)))))))</f>
        <v>25.6</v>
      </c>
      <c r="E289" s="4">
        <f t="shared" si="65"/>
        <v>25.200000000000003</v>
      </c>
      <c r="F289" s="4">
        <f t="shared" si="65"/>
        <v>24.800000000000004</v>
      </c>
      <c r="G289" s="4">
        <f t="shared" si="65"/>
        <v>24.400000000000006</v>
      </c>
      <c r="H289" s="4">
        <f t="shared" si="65"/>
        <v>24.000000000000007</v>
      </c>
      <c r="I289" s="4">
        <f t="shared" si="65"/>
        <v>23.600000000000009</v>
      </c>
      <c r="J289" s="4">
        <f t="shared" si="65"/>
        <v>23.20000000000001</v>
      </c>
      <c r="K289" s="4">
        <f t="shared" si="65"/>
        <v>22.800000000000011</v>
      </c>
      <c r="L289" s="4">
        <f t="shared" si="65"/>
        <v>22.400000000000013</v>
      </c>
      <c r="M289" s="4">
        <f t="shared" si="65"/>
        <v>22.000000000000014</v>
      </c>
      <c r="N289" s="4">
        <f t="shared" si="65"/>
        <v>21.600000000000016</v>
      </c>
      <c r="O289" s="4">
        <f t="shared" si="65"/>
        <v>21.200000000000017</v>
      </c>
      <c r="P289" s="4">
        <f t="shared" si="65"/>
        <v>20.800000000000018</v>
      </c>
      <c r="Q289" s="4">
        <f t="shared" si="65"/>
        <v>20.40000000000002</v>
      </c>
      <c r="R289" s="4">
        <f t="shared" si="65"/>
        <v>20.000000000000021</v>
      </c>
      <c r="S289" s="4">
        <f t="shared" si="65"/>
        <v>19.600000000000023</v>
      </c>
      <c r="T289" s="4">
        <f t="shared" si="65"/>
        <v>19.200000000000024</v>
      </c>
      <c r="U289" s="4">
        <f t="shared" si="65"/>
        <v>18.800000000000026</v>
      </c>
      <c r="V289" s="4">
        <f t="shared" si="65"/>
        <v>18.400000000000027</v>
      </c>
      <c r="W289" s="4">
        <f t="shared" si="65"/>
        <v>18.100000000000026</v>
      </c>
      <c r="X289" s="4">
        <f t="shared" si="65"/>
        <v>17.800000000000026</v>
      </c>
      <c r="Y289" s="4">
        <f t="shared" si="65"/>
        <v>17.500000000000025</v>
      </c>
      <c r="Z289" s="4">
        <f t="shared" si="65"/>
        <v>17.200000000000024</v>
      </c>
      <c r="AA289" s="4">
        <f t="shared" si="65"/>
        <v>16.900000000000023</v>
      </c>
      <c r="AB289" s="4">
        <f t="shared" si="65"/>
        <v>16.600000000000023</v>
      </c>
      <c r="AC289" s="4">
        <f t="shared" si="65"/>
        <v>16.300000000000022</v>
      </c>
      <c r="AD289" s="4">
        <f t="shared" si="65"/>
        <v>16.000000000000021</v>
      </c>
      <c r="AE289" s="4">
        <f t="shared" si="65"/>
        <v>15.700000000000021</v>
      </c>
      <c r="AF289" s="4">
        <f t="shared" si="65"/>
        <v>15.40000000000002</v>
      </c>
      <c r="AG289" s="4">
        <f t="shared" si="65"/>
        <v>15.100000000000019</v>
      </c>
      <c r="AH289" s="4">
        <f t="shared" si="65"/>
        <v>14.800000000000018</v>
      </c>
      <c r="AI289" s="4">
        <f t="shared" si="65"/>
        <v>14.500000000000018</v>
      </c>
      <c r="AJ289" s="4">
        <f t="shared" si="65"/>
        <v>14.200000000000017</v>
      </c>
      <c r="AK289" s="4">
        <f t="shared" si="65"/>
        <v>13.900000000000016</v>
      </c>
    </row>
    <row r="290" spans="3:37" outlineLevel="1" x14ac:dyDescent="0.25">
      <c r="C290" s="38">
        <v>26.1</v>
      </c>
      <c r="D290" s="4">
        <f t="shared" si="65"/>
        <v>25.700000000000003</v>
      </c>
      <c r="E290" s="4">
        <f t="shared" si="65"/>
        <v>25.300000000000004</v>
      </c>
      <c r="F290" s="4">
        <f t="shared" si="65"/>
        <v>24.900000000000006</v>
      </c>
      <c r="G290" s="4">
        <f t="shared" si="65"/>
        <v>24.500000000000007</v>
      </c>
      <c r="H290" s="4">
        <f t="shared" si="65"/>
        <v>24.100000000000009</v>
      </c>
      <c r="I290" s="4">
        <f t="shared" si="65"/>
        <v>23.70000000000001</v>
      </c>
      <c r="J290" s="4">
        <f t="shared" si="65"/>
        <v>23.300000000000011</v>
      </c>
      <c r="K290" s="4">
        <f t="shared" si="65"/>
        <v>22.900000000000013</v>
      </c>
      <c r="L290" s="4">
        <f t="shared" si="65"/>
        <v>22.500000000000014</v>
      </c>
      <c r="M290" s="4">
        <f t="shared" si="65"/>
        <v>22.100000000000016</v>
      </c>
      <c r="N290" s="4">
        <f t="shared" si="65"/>
        <v>21.700000000000017</v>
      </c>
      <c r="O290" s="4">
        <f t="shared" si="65"/>
        <v>21.300000000000018</v>
      </c>
      <c r="P290" s="4">
        <f t="shared" si="65"/>
        <v>20.90000000000002</v>
      </c>
      <c r="Q290" s="4">
        <f t="shared" si="65"/>
        <v>20.500000000000021</v>
      </c>
      <c r="R290" s="4">
        <f t="shared" si="65"/>
        <v>20.100000000000023</v>
      </c>
      <c r="S290" s="4">
        <f t="shared" si="65"/>
        <v>19.700000000000024</v>
      </c>
      <c r="T290" s="4">
        <f t="shared" si="65"/>
        <v>19.300000000000026</v>
      </c>
      <c r="U290" s="4">
        <f t="shared" si="65"/>
        <v>18.900000000000027</v>
      </c>
      <c r="V290" s="4">
        <f t="shared" si="65"/>
        <v>18.500000000000028</v>
      </c>
      <c r="W290" s="4">
        <f t="shared" si="65"/>
        <v>18.10000000000003</v>
      </c>
      <c r="X290" s="4">
        <f t="shared" si="65"/>
        <v>17.800000000000029</v>
      </c>
      <c r="Y290" s="4">
        <f t="shared" si="65"/>
        <v>17.500000000000028</v>
      </c>
      <c r="Z290" s="4">
        <f t="shared" si="65"/>
        <v>17.200000000000028</v>
      </c>
      <c r="AA290" s="4">
        <f t="shared" si="65"/>
        <v>16.900000000000027</v>
      </c>
      <c r="AB290" s="4">
        <f t="shared" si="65"/>
        <v>16.600000000000026</v>
      </c>
      <c r="AC290" s="4">
        <f t="shared" si="65"/>
        <v>16.300000000000026</v>
      </c>
      <c r="AD290" s="4">
        <f t="shared" si="65"/>
        <v>16.000000000000025</v>
      </c>
      <c r="AE290" s="4">
        <f t="shared" si="65"/>
        <v>15.700000000000024</v>
      </c>
      <c r="AF290" s="4">
        <f t="shared" si="65"/>
        <v>15.400000000000023</v>
      </c>
      <c r="AG290" s="4">
        <f t="shared" si="65"/>
        <v>15.100000000000023</v>
      </c>
      <c r="AH290" s="4">
        <f t="shared" si="65"/>
        <v>14.800000000000022</v>
      </c>
      <c r="AI290" s="4">
        <f t="shared" si="65"/>
        <v>14.500000000000021</v>
      </c>
      <c r="AJ290" s="4">
        <f t="shared" si="65"/>
        <v>14.200000000000021</v>
      </c>
      <c r="AK290" s="4">
        <f t="shared" si="65"/>
        <v>13.90000000000002</v>
      </c>
    </row>
    <row r="291" spans="3:37" outlineLevel="1" x14ac:dyDescent="0.25">
      <c r="C291" s="38">
        <v>26.2</v>
      </c>
      <c r="D291" s="4">
        <f t="shared" si="65"/>
        <v>25.8</v>
      </c>
      <c r="E291" s="4">
        <f t="shared" si="65"/>
        <v>25.400000000000002</v>
      </c>
      <c r="F291" s="4">
        <f t="shared" si="65"/>
        <v>25.000000000000004</v>
      </c>
      <c r="G291" s="4">
        <f t="shared" si="65"/>
        <v>24.600000000000005</v>
      </c>
      <c r="H291" s="4">
        <f t="shared" si="65"/>
        <v>24.200000000000006</v>
      </c>
      <c r="I291" s="4">
        <f t="shared" si="65"/>
        <v>23.800000000000008</v>
      </c>
      <c r="J291" s="4">
        <f t="shared" si="65"/>
        <v>23.400000000000009</v>
      </c>
      <c r="K291" s="4">
        <f t="shared" si="65"/>
        <v>23.000000000000011</v>
      </c>
      <c r="L291" s="4">
        <f t="shared" si="65"/>
        <v>22.600000000000012</v>
      </c>
      <c r="M291" s="4">
        <f t="shared" si="65"/>
        <v>22.200000000000014</v>
      </c>
      <c r="N291" s="4">
        <f t="shared" si="65"/>
        <v>21.800000000000015</v>
      </c>
      <c r="O291" s="4">
        <f t="shared" si="65"/>
        <v>21.400000000000016</v>
      </c>
      <c r="P291" s="4">
        <f t="shared" si="65"/>
        <v>21.000000000000018</v>
      </c>
      <c r="Q291" s="4">
        <f t="shared" si="65"/>
        <v>20.600000000000019</v>
      </c>
      <c r="R291" s="4">
        <f t="shared" si="65"/>
        <v>20.200000000000021</v>
      </c>
      <c r="S291" s="4">
        <f t="shared" si="65"/>
        <v>19.800000000000022</v>
      </c>
      <c r="T291" s="4">
        <f t="shared" si="65"/>
        <v>19.400000000000023</v>
      </c>
      <c r="U291" s="4">
        <f t="shared" si="65"/>
        <v>19.000000000000025</v>
      </c>
      <c r="V291" s="4">
        <f t="shared" si="65"/>
        <v>18.600000000000026</v>
      </c>
      <c r="W291" s="4">
        <f t="shared" si="65"/>
        <v>18.200000000000028</v>
      </c>
      <c r="X291" s="4">
        <f t="shared" si="65"/>
        <v>17.900000000000027</v>
      </c>
      <c r="Y291" s="4">
        <f t="shared" si="65"/>
        <v>17.600000000000026</v>
      </c>
      <c r="Z291" s="4">
        <f t="shared" si="65"/>
        <v>17.300000000000026</v>
      </c>
      <c r="AA291" s="4">
        <f t="shared" si="65"/>
        <v>17.000000000000025</v>
      </c>
      <c r="AB291" s="4">
        <f t="shared" si="65"/>
        <v>16.700000000000024</v>
      </c>
      <c r="AC291" s="4">
        <f t="shared" si="65"/>
        <v>16.400000000000023</v>
      </c>
      <c r="AD291" s="4">
        <f t="shared" si="65"/>
        <v>16.100000000000023</v>
      </c>
      <c r="AE291" s="4">
        <f t="shared" si="65"/>
        <v>15.800000000000022</v>
      </c>
      <c r="AF291" s="4">
        <f t="shared" si="65"/>
        <v>15.500000000000021</v>
      </c>
      <c r="AG291" s="4">
        <f t="shared" si="65"/>
        <v>15.200000000000021</v>
      </c>
      <c r="AH291" s="4">
        <f t="shared" si="65"/>
        <v>14.90000000000002</v>
      </c>
      <c r="AI291" s="4">
        <f t="shared" si="65"/>
        <v>14.600000000000019</v>
      </c>
      <c r="AJ291" s="4">
        <f t="shared" si="65"/>
        <v>14.300000000000018</v>
      </c>
      <c r="AK291" s="4">
        <f t="shared" si="65"/>
        <v>14.000000000000018</v>
      </c>
    </row>
    <row r="292" spans="3:37" outlineLevel="1" x14ac:dyDescent="0.25">
      <c r="C292" s="38">
        <v>26.3</v>
      </c>
      <c r="D292" s="4">
        <f t="shared" si="65"/>
        <v>25.900000000000002</v>
      </c>
      <c r="E292" s="4">
        <f t="shared" si="65"/>
        <v>25.500000000000004</v>
      </c>
      <c r="F292" s="4">
        <f t="shared" si="65"/>
        <v>25.100000000000005</v>
      </c>
      <c r="G292" s="4">
        <f t="shared" si="65"/>
        <v>24.700000000000006</v>
      </c>
      <c r="H292" s="4">
        <f t="shared" si="65"/>
        <v>24.300000000000008</v>
      </c>
      <c r="I292" s="4">
        <f t="shared" si="65"/>
        <v>23.900000000000009</v>
      </c>
      <c r="J292" s="4">
        <f t="shared" si="65"/>
        <v>23.500000000000011</v>
      </c>
      <c r="K292" s="4">
        <f t="shared" si="65"/>
        <v>23.100000000000012</v>
      </c>
      <c r="L292" s="4">
        <f t="shared" si="65"/>
        <v>22.700000000000014</v>
      </c>
      <c r="M292" s="4">
        <f t="shared" si="65"/>
        <v>22.300000000000015</v>
      </c>
      <c r="N292" s="4">
        <f t="shared" si="65"/>
        <v>21.900000000000016</v>
      </c>
      <c r="O292" s="4">
        <f t="shared" si="65"/>
        <v>21.500000000000018</v>
      </c>
      <c r="P292" s="4">
        <f t="shared" si="65"/>
        <v>21.100000000000019</v>
      </c>
      <c r="Q292" s="4">
        <f t="shared" si="65"/>
        <v>20.700000000000021</v>
      </c>
      <c r="R292" s="4">
        <f t="shared" si="65"/>
        <v>20.300000000000022</v>
      </c>
      <c r="S292" s="4">
        <f t="shared" si="65"/>
        <v>19.900000000000023</v>
      </c>
      <c r="T292" s="4">
        <f t="shared" si="65"/>
        <v>19.500000000000025</v>
      </c>
      <c r="U292" s="4">
        <f t="shared" si="65"/>
        <v>19.100000000000026</v>
      </c>
      <c r="V292" s="4">
        <f t="shared" si="65"/>
        <v>18.700000000000028</v>
      </c>
      <c r="W292" s="4">
        <f t="shared" si="65"/>
        <v>18.300000000000029</v>
      </c>
      <c r="X292" s="4">
        <f t="shared" si="65"/>
        <v>18.000000000000028</v>
      </c>
      <c r="Y292" s="4">
        <f t="shared" si="65"/>
        <v>17.700000000000028</v>
      </c>
      <c r="Z292" s="4">
        <f t="shared" si="65"/>
        <v>17.400000000000027</v>
      </c>
      <c r="AA292" s="4">
        <f t="shared" si="65"/>
        <v>17.100000000000026</v>
      </c>
      <c r="AB292" s="4">
        <f t="shared" si="65"/>
        <v>16.800000000000026</v>
      </c>
      <c r="AC292" s="4">
        <f t="shared" si="65"/>
        <v>16.500000000000025</v>
      </c>
      <c r="AD292" s="4">
        <f t="shared" si="65"/>
        <v>16.200000000000024</v>
      </c>
      <c r="AE292" s="4">
        <f t="shared" si="65"/>
        <v>15.900000000000023</v>
      </c>
      <c r="AF292" s="4">
        <f t="shared" si="65"/>
        <v>15.600000000000023</v>
      </c>
      <c r="AG292" s="4">
        <f t="shared" si="65"/>
        <v>15.300000000000022</v>
      </c>
      <c r="AH292" s="4">
        <f t="shared" si="65"/>
        <v>15.000000000000021</v>
      </c>
      <c r="AI292" s="4">
        <f t="shared" si="65"/>
        <v>14.700000000000021</v>
      </c>
      <c r="AJ292" s="4">
        <f t="shared" si="65"/>
        <v>14.40000000000002</v>
      </c>
      <c r="AK292" s="4">
        <f t="shared" si="65"/>
        <v>14.100000000000019</v>
      </c>
    </row>
    <row r="293" spans="3:37" outlineLevel="1" x14ac:dyDescent="0.25">
      <c r="C293" s="38">
        <v>26.4</v>
      </c>
      <c r="D293" s="4">
        <f t="shared" si="65"/>
        <v>26</v>
      </c>
      <c r="E293" s="4">
        <f t="shared" si="65"/>
        <v>25.6</v>
      </c>
      <c r="F293" s="4">
        <f t="shared" si="65"/>
        <v>25.200000000000003</v>
      </c>
      <c r="G293" s="4">
        <f t="shared" si="65"/>
        <v>24.800000000000004</v>
      </c>
      <c r="H293" s="4">
        <f t="shared" si="65"/>
        <v>24.400000000000006</v>
      </c>
      <c r="I293" s="4">
        <f t="shared" si="65"/>
        <v>24.000000000000007</v>
      </c>
      <c r="J293" s="4">
        <f t="shared" si="65"/>
        <v>23.600000000000009</v>
      </c>
      <c r="K293" s="4">
        <f t="shared" si="65"/>
        <v>23.20000000000001</v>
      </c>
      <c r="L293" s="4">
        <f t="shared" si="65"/>
        <v>22.800000000000011</v>
      </c>
      <c r="M293" s="4">
        <f t="shared" si="65"/>
        <v>22.400000000000013</v>
      </c>
      <c r="N293" s="4">
        <f t="shared" si="65"/>
        <v>22.000000000000014</v>
      </c>
      <c r="O293" s="4">
        <f t="shared" si="65"/>
        <v>21.600000000000016</v>
      </c>
      <c r="P293" s="4">
        <f t="shared" si="65"/>
        <v>21.200000000000017</v>
      </c>
      <c r="Q293" s="4">
        <f t="shared" si="65"/>
        <v>20.800000000000018</v>
      </c>
      <c r="R293" s="4">
        <f t="shared" si="65"/>
        <v>20.40000000000002</v>
      </c>
      <c r="S293" s="4">
        <f t="shared" si="65"/>
        <v>20.000000000000021</v>
      </c>
      <c r="T293" s="4">
        <f t="shared" si="65"/>
        <v>19.600000000000023</v>
      </c>
      <c r="U293" s="4">
        <f t="shared" si="65"/>
        <v>19.200000000000024</v>
      </c>
      <c r="V293" s="4">
        <f t="shared" si="65"/>
        <v>18.800000000000026</v>
      </c>
      <c r="W293" s="4">
        <f t="shared" si="65"/>
        <v>18.400000000000027</v>
      </c>
      <c r="X293" s="4">
        <f t="shared" si="65"/>
        <v>18.100000000000026</v>
      </c>
      <c r="Y293" s="4">
        <f t="shared" si="65"/>
        <v>17.800000000000026</v>
      </c>
      <c r="Z293" s="4">
        <f t="shared" si="65"/>
        <v>17.500000000000025</v>
      </c>
      <c r="AA293" s="4">
        <f t="shared" si="65"/>
        <v>17.200000000000024</v>
      </c>
      <c r="AB293" s="4">
        <f t="shared" si="65"/>
        <v>16.900000000000023</v>
      </c>
      <c r="AC293" s="4">
        <f t="shared" si="65"/>
        <v>16.600000000000023</v>
      </c>
      <c r="AD293" s="4">
        <f t="shared" si="65"/>
        <v>16.300000000000022</v>
      </c>
      <c r="AE293" s="4">
        <f t="shared" si="65"/>
        <v>16.000000000000021</v>
      </c>
      <c r="AF293" s="4">
        <f t="shared" si="65"/>
        <v>15.700000000000021</v>
      </c>
      <c r="AG293" s="4">
        <f t="shared" si="65"/>
        <v>15.40000000000002</v>
      </c>
      <c r="AH293" s="4">
        <f t="shared" si="65"/>
        <v>15.100000000000019</v>
      </c>
      <c r="AI293" s="4">
        <f t="shared" si="65"/>
        <v>14.800000000000018</v>
      </c>
      <c r="AJ293" s="4">
        <f t="shared" si="65"/>
        <v>14.500000000000018</v>
      </c>
      <c r="AK293" s="4">
        <f t="shared" si="65"/>
        <v>14.200000000000017</v>
      </c>
    </row>
    <row r="294" spans="3:37" outlineLevel="1" x14ac:dyDescent="0.25">
      <c r="C294" s="38">
        <v>26.5</v>
      </c>
      <c r="D294" s="4">
        <f t="shared" si="65"/>
        <v>26</v>
      </c>
      <c r="E294" s="4">
        <f t="shared" si="65"/>
        <v>25.6</v>
      </c>
      <c r="F294" s="4">
        <f t="shared" si="65"/>
        <v>25.200000000000003</v>
      </c>
      <c r="G294" s="4">
        <f t="shared" si="65"/>
        <v>24.800000000000004</v>
      </c>
      <c r="H294" s="4">
        <f t="shared" si="65"/>
        <v>24.400000000000006</v>
      </c>
      <c r="I294" s="4">
        <f t="shared" si="65"/>
        <v>24.000000000000007</v>
      </c>
      <c r="J294" s="4">
        <f t="shared" si="65"/>
        <v>23.600000000000009</v>
      </c>
      <c r="K294" s="4">
        <f t="shared" si="65"/>
        <v>23.20000000000001</v>
      </c>
      <c r="L294" s="4">
        <f t="shared" si="65"/>
        <v>22.800000000000011</v>
      </c>
      <c r="M294" s="4">
        <f t="shared" si="65"/>
        <v>22.400000000000013</v>
      </c>
      <c r="N294" s="4">
        <f t="shared" si="65"/>
        <v>22.000000000000014</v>
      </c>
      <c r="O294" s="4">
        <f t="shared" si="65"/>
        <v>21.600000000000016</v>
      </c>
      <c r="P294" s="4">
        <f t="shared" si="65"/>
        <v>21.200000000000017</v>
      </c>
      <c r="Q294" s="4">
        <f t="shared" si="65"/>
        <v>20.800000000000018</v>
      </c>
      <c r="R294" s="4">
        <f t="shared" si="65"/>
        <v>20.40000000000002</v>
      </c>
      <c r="S294" s="4">
        <f t="shared" si="65"/>
        <v>20.000000000000021</v>
      </c>
      <c r="T294" s="4">
        <f t="shared" si="65"/>
        <v>19.600000000000023</v>
      </c>
      <c r="U294" s="4">
        <f t="shared" si="65"/>
        <v>19.200000000000024</v>
      </c>
      <c r="V294" s="4">
        <f t="shared" si="65"/>
        <v>18.800000000000026</v>
      </c>
      <c r="W294" s="4">
        <f t="shared" si="65"/>
        <v>18.400000000000027</v>
      </c>
      <c r="X294" s="4">
        <f t="shared" si="65"/>
        <v>18.100000000000026</v>
      </c>
      <c r="Y294" s="4">
        <f t="shared" si="65"/>
        <v>17.800000000000026</v>
      </c>
      <c r="Z294" s="4">
        <f t="shared" si="65"/>
        <v>17.500000000000025</v>
      </c>
      <c r="AA294" s="4">
        <f t="shared" si="65"/>
        <v>17.200000000000024</v>
      </c>
      <c r="AB294" s="4">
        <f t="shared" si="65"/>
        <v>16.900000000000023</v>
      </c>
      <c r="AC294" s="4">
        <f t="shared" si="65"/>
        <v>16.600000000000023</v>
      </c>
      <c r="AD294" s="4">
        <f t="shared" si="65"/>
        <v>16.300000000000022</v>
      </c>
      <c r="AE294" s="4">
        <f t="shared" si="65"/>
        <v>16.000000000000021</v>
      </c>
      <c r="AF294" s="4">
        <f t="shared" si="65"/>
        <v>15.700000000000021</v>
      </c>
      <c r="AG294" s="4">
        <f t="shared" si="65"/>
        <v>15.40000000000002</v>
      </c>
      <c r="AH294" s="4">
        <f t="shared" si="65"/>
        <v>15.100000000000019</v>
      </c>
      <c r="AI294" s="4">
        <f t="shared" si="65"/>
        <v>14.800000000000018</v>
      </c>
      <c r="AJ294" s="4">
        <f t="shared" si="65"/>
        <v>14.500000000000018</v>
      </c>
      <c r="AK294" s="4">
        <f t="shared" si="65"/>
        <v>14.200000000000017</v>
      </c>
    </row>
    <row r="295" spans="3:37" outlineLevel="1" x14ac:dyDescent="0.25">
      <c r="C295" s="38">
        <v>26.6</v>
      </c>
      <c r="D295" s="4">
        <f t="shared" si="65"/>
        <v>26.1</v>
      </c>
      <c r="E295" s="4">
        <f t="shared" si="65"/>
        <v>25.700000000000003</v>
      </c>
      <c r="F295" s="4">
        <f t="shared" si="65"/>
        <v>25.300000000000004</v>
      </c>
      <c r="G295" s="4">
        <f t="shared" si="65"/>
        <v>24.900000000000006</v>
      </c>
      <c r="H295" s="4">
        <f t="shared" si="65"/>
        <v>24.500000000000007</v>
      </c>
      <c r="I295" s="4">
        <f t="shared" si="65"/>
        <v>24.100000000000009</v>
      </c>
      <c r="J295" s="4">
        <f t="shared" si="65"/>
        <v>23.70000000000001</v>
      </c>
      <c r="K295" s="4">
        <f t="shared" si="65"/>
        <v>23.300000000000011</v>
      </c>
      <c r="L295" s="4">
        <f t="shared" si="65"/>
        <v>22.900000000000013</v>
      </c>
      <c r="M295" s="4">
        <f t="shared" si="65"/>
        <v>22.500000000000014</v>
      </c>
      <c r="N295" s="4">
        <f t="shared" si="65"/>
        <v>22.100000000000016</v>
      </c>
      <c r="O295" s="4">
        <f t="shared" si="65"/>
        <v>21.700000000000017</v>
      </c>
      <c r="P295" s="4">
        <f t="shared" si="65"/>
        <v>21.300000000000018</v>
      </c>
      <c r="Q295" s="4">
        <f t="shared" si="65"/>
        <v>20.90000000000002</v>
      </c>
      <c r="R295" s="4">
        <f t="shared" si="65"/>
        <v>20.500000000000021</v>
      </c>
      <c r="S295" s="4">
        <f t="shared" si="65"/>
        <v>20.100000000000023</v>
      </c>
      <c r="T295" s="4">
        <f t="shared" si="65"/>
        <v>19.700000000000024</v>
      </c>
      <c r="U295" s="4">
        <f t="shared" si="65"/>
        <v>19.300000000000026</v>
      </c>
      <c r="V295" s="4">
        <f t="shared" si="65"/>
        <v>18.900000000000027</v>
      </c>
      <c r="W295" s="4">
        <f t="shared" si="65"/>
        <v>18.500000000000028</v>
      </c>
      <c r="X295" s="4">
        <f t="shared" si="65"/>
        <v>18.10000000000003</v>
      </c>
      <c r="Y295" s="4">
        <f t="shared" si="65"/>
        <v>17.800000000000029</v>
      </c>
      <c r="Z295" s="4">
        <f t="shared" si="65"/>
        <v>17.500000000000028</v>
      </c>
      <c r="AA295" s="4">
        <f t="shared" si="65"/>
        <v>17.200000000000028</v>
      </c>
      <c r="AB295" s="4">
        <f t="shared" si="65"/>
        <v>16.900000000000027</v>
      </c>
      <c r="AC295" s="4">
        <f t="shared" si="65"/>
        <v>16.600000000000026</v>
      </c>
      <c r="AD295" s="4">
        <f t="shared" si="65"/>
        <v>16.300000000000026</v>
      </c>
      <c r="AE295" s="4">
        <f t="shared" si="65"/>
        <v>16.000000000000025</v>
      </c>
      <c r="AF295" s="4">
        <f t="shared" si="65"/>
        <v>15.700000000000024</v>
      </c>
      <c r="AG295" s="4">
        <f t="shared" si="65"/>
        <v>15.400000000000023</v>
      </c>
      <c r="AH295" s="4">
        <f t="shared" si="65"/>
        <v>15.100000000000023</v>
      </c>
      <c r="AI295" s="4">
        <f t="shared" si="65"/>
        <v>14.800000000000022</v>
      </c>
      <c r="AJ295" s="4">
        <f t="shared" si="65"/>
        <v>14.500000000000021</v>
      </c>
      <c r="AK295" s="4">
        <f t="shared" si="65"/>
        <v>14.200000000000021</v>
      </c>
    </row>
    <row r="296" spans="3:37" outlineLevel="1" x14ac:dyDescent="0.25">
      <c r="C296" s="38">
        <v>26.7</v>
      </c>
      <c r="D296" s="4">
        <f t="shared" si="65"/>
        <v>26.2</v>
      </c>
      <c r="E296" s="4">
        <f t="shared" si="65"/>
        <v>25.8</v>
      </c>
      <c r="F296" s="4">
        <f t="shared" si="65"/>
        <v>25.400000000000002</v>
      </c>
      <c r="G296" s="4">
        <f t="shared" si="65"/>
        <v>25.000000000000004</v>
      </c>
      <c r="H296" s="4">
        <f t="shared" si="65"/>
        <v>24.600000000000005</v>
      </c>
      <c r="I296" s="4">
        <f t="shared" si="65"/>
        <v>24.200000000000006</v>
      </c>
      <c r="J296" s="4">
        <f t="shared" si="65"/>
        <v>23.800000000000008</v>
      </c>
      <c r="K296" s="4">
        <f t="shared" si="65"/>
        <v>23.400000000000009</v>
      </c>
      <c r="L296" s="4">
        <f t="shared" si="65"/>
        <v>23.000000000000011</v>
      </c>
      <c r="M296" s="4">
        <f t="shared" si="65"/>
        <v>22.600000000000012</v>
      </c>
      <c r="N296" s="4">
        <f t="shared" si="65"/>
        <v>22.200000000000014</v>
      </c>
      <c r="O296" s="4">
        <f t="shared" si="65"/>
        <v>21.800000000000015</v>
      </c>
      <c r="P296" s="4">
        <f t="shared" si="65"/>
        <v>21.400000000000016</v>
      </c>
      <c r="Q296" s="4">
        <f t="shared" si="65"/>
        <v>21.000000000000018</v>
      </c>
      <c r="R296" s="4">
        <f t="shared" si="65"/>
        <v>20.600000000000019</v>
      </c>
      <c r="S296" s="4">
        <f t="shared" si="65"/>
        <v>20.200000000000021</v>
      </c>
      <c r="T296" s="4">
        <f t="shared" si="65"/>
        <v>19.800000000000022</v>
      </c>
      <c r="U296" s="4">
        <f t="shared" ref="U296:AK296" si="66">(IF(T296&lt;=4.4,T296-$E$6,IF(AND(T296&gt;=4.5,T296&lt;=11.4),T296-$E$7,IF(AND(T296&gt;=11.5,T296&lt;=18.4),T296-$E$8,IF(AND(T296&gt;=18.5,T296&lt;=26.4),T296-$E$9,IF(AND(T296&gt;=26.4,T296&lt;=36),T296-$E$10,IF(T296&gt;=37,T296-$E$11)))))))</f>
        <v>19.400000000000023</v>
      </c>
      <c r="V296" s="4">
        <f t="shared" si="66"/>
        <v>19.000000000000025</v>
      </c>
      <c r="W296" s="4">
        <f t="shared" si="66"/>
        <v>18.600000000000026</v>
      </c>
      <c r="X296" s="4">
        <f t="shared" si="66"/>
        <v>18.200000000000028</v>
      </c>
      <c r="Y296" s="4">
        <f t="shared" si="66"/>
        <v>17.900000000000027</v>
      </c>
      <c r="Z296" s="4">
        <f t="shared" si="66"/>
        <v>17.600000000000026</v>
      </c>
      <c r="AA296" s="4">
        <f t="shared" si="66"/>
        <v>17.300000000000026</v>
      </c>
      <c r="AB296" s="4">
        <f t="shared" si="66"/>
        <v>17.000000000000025</v>
      </c>
      <c r="AC296" s="4">
        <f t="shared" si="66"/>
        <v>16.700000000000024</v>
      </c>
      <c r="AD296" s="4">
        <f t="shared" si="66"/>
        <v>16.400000000000023</v>
      </c>
      <c r="AE296" s="4">
        <f t="shared" si="66"/>
        <v>16.100000000000023</v>
      </c>
      <c r="AF296" s="4">
        <f t="shared" si="66"/>
        <v>15.800000000000022</v>
      </c>
      <c r="AG296" s="4">
        <f t="shared" si="66"/>
        <v>15.500000000000021</v>
      </c>
      <c r="AH296" s="4">
        <f t="shared" si="66"/>
        <v>15.200000000000021</v>
      </c>
      <c r="AI296" s="4">
        <f t="shared" si="66"/>
        <v>14.90000000000002</v>
      </c>
      <c r="AJ296" s="4">
        <f t="shared" si="66"/>
        <v>14.600000000000019</v>
      </c>
      <c r="AK296" s="4">
        <f t="shared" si="66"/>
        <v>14.300000000000018</v>
      </c>
    </row>
    <row r="297" spans="3:37" outlineLevel="1" x14ac:dyDescent="0.25">
      <c r="C297" s="38">
        <v>26.8</v>
      </c>
      <c r="D297" s="4">
        <f t="shared" ref="D297:AK304" si="67">(IF(C297&lt;=4.4,C297-$E$6,IF(AND(C297&gt;=4.5,C297&lt;=11.4),C297-$E$7,IF(AND(C297&gt;=11.5,C297&lt;=18.4),C297-$E$8,IF(AND(C297&gt;=18.5,C297&lt;=26.4),C297-$E$9,IF(AND(C297&gt;=26.4,C297&lt;=36),C297-$E$10,IF(C297&gt;=37,C297-$E$11)))))))</f>
        <v>26.3</v>
      </c>
      <c r="E297" s="4">
        <f t="shared" si="67"/>
        <v>25.900000000000002</v>
      </c>
      <c r="F297" s="4">
        <f t="shared" si="67"/>
        <v>25.500000000000004</v>
      </c>
      <c r="G297" s="4">
        <f t="shared" si="67"/>
        <v>25.100000000000005</v>
      </c>
      <c r="H297" s="4">
        <f t="shared" si="67"/>
        <v>24.700000000000006</v>
      </c>
      <c r="I297" s="4">
        <f t="shared" si="67"/>
        <v>24.300000000000008</v>
      </c>
      <c r="J297" s="4">
        <f t="shared" si="67"/>
        <v>23.900000000000009</v>
      </c>
      <c r="K297" s="4">
        <f t="shared" si="67"/>
        <v>23.500000000000011</v>
      </c>
      <c r="L297" s="4">
        <f t="shared" si="67"/>
        <v>23.100000000000012</v>
      </c>
      <c r="M297" s="4">
        <f t="shared" si="67"/>
        <v>22.700000000000014</v>
      </c>
      <c r="N297" s="4">
        <f t="shared" si="67"/>
        <v>22.300000000000015</v>
      </c>
      <c r="O297" s="4">
        <f t="shared" si="67"/>
        <v>21.900000000000016</v>
      </c>
      <c r="P297" s="4">
        <f t="shared" si="67"/>
        <v>21.500000000000018</v>
      </c>
      <c r="Q297" s="4">
        <f t="shared" si="67"/>
        <v>21.100000000000019</v>
      </c>
      <c r="R297" s="4">
        <f t="shared" si="67"/>
        <v>20.700000000000021</v>
      </c>
      <c r="S297" s="4">
        <f t="shared" si="67"/>
        <v>20.300000000000022</v>
      </c>
      <c r="T297" s="4">
        <f t="shared" si="67"/>
        <v>19.900000000000023</v>
      </c>
      <c r="U297" s="4">
        <f t="shared" si="67"/>
        <v>19.500000000000025</v>
      </c>
      <c r="V297" s="4">
        <f t="shared" si="67"/>
        <v>19.100000000000026</v>
      </c>
      <c r="W297" s="4">
        <f t="shared" si="67"/>
        <v>18.700000000000028</v>
      </c>
      <c r="X297" s="4">
        <f t="shared" si="67"/>
        <v>18.300000000000029</v>
      </c>
      <c r="Y297" s="4">
        <f t="shared" si="67"/>
        <v>18.000000000000028</v>
      </c>
      <c r="Z297" s="4">
        <f t="shared" si="67"/>
        <v>17.700000000000028</v>
      </c>
      <c r="AA297" s="4">
        <f t="shared" si="67"/>
        <v>17.400000000000027</v>
      </c>
      <c r="AB297" s="4">
        <f t="shared" si="67"/>
        <v>17.100000000000026</v>
      </c>
      <c r="AC297" s="4">
        <f t="shared" si="67"/>
        <v>16.800000000000026</v>
      </c>
      <c r="AD297" s="4">
        <f t="shared" si="67"/>
        <v>16.500000000000025</v>
      </c>
      <c r="AE297" s="4">
        <f t="shared" si="67"/>
        <v>16.200000000000024</v>
      </c>
      <c r="AF297" s="4">
        <f t="shared" si="67"/>
        <v>15.900000000000023</v>
      </c>
      <c r="AG297" s="4">
        <f t="shared" si="67"/>
        <v>15.600000000000023</v>
      </c>
      <c r="AH297" s="4">
        <f t="shared" si="67"/>
        <v>15.300000000000022</v>
      </c>
      <c r="AI297" s="4">
        <f t="shared" si="67"/>
        <v>15.000000000000021</v>
      </c>
      <c r="AJ297" s="4">
        <f t="shared" si="67"/>
        <v>14.700000000000021</v>
      </c>
      <c r="AK297" s="4">
        <f t="shared" si="67"/>
        <v>14.40000000000002</v>
      </c>
    </row>
    <row r="298" spans="3:37" outlineLevel="1" x14ac:dyDescent="0.25">
      <c r="C298" s="38">
        <v>26.9</v>
      </c>
      <c r="D298" s="4">
        <f t="shared" si="67"/>
        <v>26.4</v>
      </c>
      <c r="E298" s="4">
        <f t="shared" si="67"/>
        <v>26</v>
      </c>
      <c r="F298" s="4">
        <f t="shared" si="67"/>
        <v>25.6</v>
      </c>
      <c r="G298" s="4">
        <f t="shared" si="67"/>
        <v>25.200000000000003</v>
      </c>
      <c r="H298" s="4">
        <f t="shared" si="67"/>
        <v>24.800000000000004</v>
      </c>
      <c r="I298" s="4">
        <f t="shared" si="67"/>
        <v>24.400000000000006</v>
      </c>
      <c r="J298" s="4">
        <f t="shared" si="67"/>
        <v>24.000000000000007</v>
      </c>
      <c r="K298" s="4">
        <f t="shared" si="67"/>
        <v>23.600000000000009</v>
      </c>
      <c r="L298" s="4">
        <f t="shared" si="67"/>
        <v>23.20000000000001</v>
      </c>
      <c r="M298" s="4">
        <f t="shared" si="67"/>
        <v>22.800000000000011</v>
      </c>
      <c r="N298" s="4">
        <f t="shared" si="67"/>
        <v>22.400000000000013</v>
      </c>
      <c r="O298" s="4">
        <f t="shared" si="67"/>
        <v>22.000000000000014</v>
      </c>
      <c r="P298" s="4">
        <f t="shared" si="67"/>
        <v>21.600000000000016</v>
      </c>
      <c r="Q298" s="4">
        <f t="shared" si="67"/>
        <v>21.200000000000017</v>
      </c>
      <c r="R298" s="4">
        <f t="shared" si="67"/>
        <v>20.800000000000018</v>
      </c>
      <c r="S298" s="4">
        <f t="shared" si="67"/>
        <v>20.40000000000002</v>
      </c>
      <c r="T298" s="4">
        <f t="shared" si="67"/>
        <v>20.000000000000021</v>
      </c>
      <c r="U298" s="4">
        <f t="shared" si="67"/>
        <v>19.600000000000023</v>
      </c>
      <c r="V298" s="4">
        <f t="shared" si="67"/>
        <v>19.200000000000024</v>
      </c>
      <c r="W298" s="4">
        <f t="shared" si="67"/>
        <v>18.800000000000026</v>
      </c>
      <c r="X298" s="4">
        <f t="shared" si="67"/>
        <v>18.400000000000027</v>
      </c>
      <c r="Y298" s="4">
        <f t="shared" si="67"/>
        <v>18.100000000000026</v>
      </c>
      <c r="Z298" s="4">
        <f t="shared" si="67"/>
        <v>17.800000000000026</v>
      </c>
      <c r="AA298" s="4">
        <f t="shared" si="67"/>
        <v>17.500000000000025</v>
      </c>
      <c r="AB298" s="4">
        <f t="shared" si="67"/>
        <v>17.200000000000024</v>
      </c>
      <c r="AC298" s="4">
        <f t="shared" si="67"/>
        <v>16.900000000000023</v>
      </c>
      <c r="AD298" s="4">
        <f t="shared" si="67"/>
        <v>16.600000000000023</v>
      </c>
      <c r="AE298" s="4">
        <f t="shared" si="67"/>
        <v>16.300000000000022</v>
      </c>
      <c r="AF298" s="4">
        <f t="shared" si="67"/>
        <v>16.000000000000021</v>
      </c>
      <c r="AG298" s="4">
        <f t="shared" si="67"/>
        <v>15.700000000000021</v>
      </c>
      <c r="AH298" s="4">
        <f t="shared" si="67"/>
        <v>15.40000000000002</v>
      </c>
      <c r="AI298" s="4">
        <f t="shared" si="67"/>
        <v>15.100000000000019</v>
      </c>
      <c r="AJ298" s="4">
        <f t="shared" si="67"/>
        <v>14.800000000000018</v>
      </c>
      <c r="AK298" s="4">
        <f t="shared" si="67"/>
        <v>14.500000000000018</v>
      </c>
    </row>
    <row r="299" spans="3:37" outlineLevel="1" x14ac:dyDescent="0.25">
      <c r="C299" s="38">
        <v>27</v>
      </c>
      <c r="D299" s="4">
        <f t="shared" si="67"/>
        <v>26.5</v>
      </c>
      <c r="E299" s="4">
        <f t="shared" si="67"/>
        <v>26</v>
      </c>
      <c r="F299" s="4">
        <f t="shared" si="67"/>
        <v>25.6</v>
      </c>
      <c r="G299" s="4">
        <f t="shared" si="67"/>
        <v>25.200000000000003</v>
      </c>
      <c r="H299" s="4">
        <f t="shared" si="67"/>
        <v>24.800000000000004</v>
      </c>
      <c r="I299" s="4">
        <f t="shared" si="67"/>
        <v>24.400000000000006</v>
      </c>
      <c r="J299" s="4">
        <f t="shared" si="67"/>
        <v>24.000000000000007</v>
      </c>
      <c r="K299" s="4">
        <f t="shared" si="67"/>
        <v>23.600000000000009</v>
      </c>
      <c r="L299" s="4">
        <f t="shared" si="67"/>
        <v>23.20000000000001</v>
      </c>
      <c r="M299" s="4">
        <f t="shared" si="67"/>
        <v>22.800000000000011</v>
      </c>
      <c r="N299" s="4">
        <f t="shared" si="67"/>
        <v>22.400000000000013</v>
      </c>
      <c r="O299" s="4">
        <f t="shared" si="67"/>
        <v>22.000000000000014</v>
      </c>
      <c r="P299" s="4">
        <f t="shared" si="67"/>
        <v>21.600000000000016</v>
      </c>
      <c r="Q299" s="4">
        <f t="shared" si="67"/>
        <v>21.200000000000017</v>
      </c>
      <c r="R299" s="4">
        <f t="shared" si="67"/>
        <v>20.800000000000018</v>
      </c>
      <c r="S299" s="4">
        <f t="shared" si="67"/>
        <v>20.40000000000002</v>
      </c>
      <c r="T299" s="4">
        <f t="shared" si="67"/>
        <v>20.000000000000021</v>
      </c>
      <c r="U299" s="4">
        <f t="shared" si="67"/>
        <v>19.600000000000023</v>
      </c>
      <c r="V299" s="4">
        <f t="shared" si="67"/>
        <v>19.200000000000024</v>
      </c>
      <c r="W299" s="4">
        <f t="shared" si="67"/>
        <v>18.800000000000026</v>
      </c>
      <c r="X299" s="4">
        <f t="shared" si="67"/>
        <v>18.400000000000027</v>
      </c>
      <c r="Y299" s="4">
        <f t="shared" si="67"/>
        <v>18.100000000000026</v>
      </c>
      <c r="Z299" s="4">
        <f t="shared" si="67"/>
        <v>17.800000000000026</v>
      </c>
      <c r="AA299" s="4">
        <f t="shared" si="67"/>
        <v>17.500000000000025</v>
      </c>
      <c r="AB299" s="4">
        <f t="shared" si="67"/>
        <v>17.200000000000024</v>
      </c>
      <c r="AC299" s="4">
        <f t="shared" si="67"/>
        <v>16.900000000000023</v>
      </c>
      <c r="AD299" s="4">
        <f t="shared" si="67"/>
        <v>16.600000000000023</v>
      </c>
      <c r="AE299" s="4">
        <f t="shared" si="67"/>
        <v>16.300000000000022</v>
      </c>
      <c r="AF299" s="4">
        <f t="shared" si="67"/>
        <v>16.000000000000021</v>
      </c>
      <c r="AG299" s="4">
        <f t="shared" si="67"/>
        <v>15.700000000000021</v>
      </c>
      <c r="AH299" s="4">
        <f t="shared" si="67"/>
        <v>15.40000000000002</v>
      </c>
      <c r="AI299" s="4">
        <f t="shared" si="67"/>
        <v>15.100000000000019</v>
      </c>
      <c r="AJ299" s="4">
        <f t="shared" si="67"/>
        <v>14.800000000000018</v>
      </c>
      <c r="AK299" s="4">
        <f t="shared" si="67"/>
        <v>14.500000000000018</v>
      </c>
    </row>
    <row r="300" spans="3:37" outlineLevel="1" x14ac:dyDescent="0.25">
      <c r="C300" s="38">
        <v>27.1</v>
      </c>
      <c r="D300" s="4">
        <f t="shared" si="67"/>
        <v>26.6</v>
      </c>
      <c r="E300" s="4">
        <f t="shared" si="67"/>
        <v>26.1</v>
      </c>
      <c r="F300" s="4">
        <f t="shared" si="67"/>
        <v>25.700000000000003</v>
      </c>
      <c r="G300" s="4">
        <f t="shared" si="67"/>
        <v>25.300000000000004</v>
      </c>
      <c r="H300" s="4">
        <f t="shared" si="67"/>
        <v>24.900000000000006</v>
      </c>
      <c r="I300" s="4">
        <f t="shared" si="67"/>
        <v>24.500000000000007</v>
      </c>
      <c r="J300" s="4">
        <f t="shared" si="67"/>
        <v>24.100000000000009</v>
      </c>
      <c r="K300" s="4">
        <f t="shared" si="67"/>
        <v>23.70000000000001</v>
      </c>
      <c r="L300" s="4">
        <f t="shared" si="67"/>
        <v>23.300000000000011</v>
      </c>
      <c r="M300" s="4">
        <f t="shared" si="67"/>
        <v>22.900000000000013</v>
      </c>
      <c r="N300" s="4">
        <f t="shared" si="67"/>
        <v>22.500000000000014</v>
      </c>
      <c r="O300" s="4">
        <f t="shared" si="67"/>
        <v>22.100000000000016</v>
      </c>
      <c r="P300" s="4">
        <f t="shared" si="67"/>
        <v>21.700000000000017</v>
      </c>
      <c r="Q300" s="4">
        <f t="shared" si="67"/>
        <v>21.300000000000018</v>
      </c>
      <c r="R300" s="4">
        <f t="shared" si="67"/>
        <v>20.90000000000002</v>
      </c>
      <c r="S300" s="4">
        <f t="shared" si="67"/>
        <v>20.500000000000021</v>
      </c>
      <c r="T300" s="4">
        <f t="shared" si="67"/>
        <v>20.100000000000023</v>
      </c>
      <c r="U300" s="4">
        <f t="shared" si="67"/>
        <v>19.700000000000024</v>
      </c>
      <c r="V300" s="4">
        <f t="shared" si="67"/>
        <v>19.300000000000026</v>
      </c>
      <c r="W300" s="4">
        <f t="shared" si="67"/>
        <v>18.900000000000027</v>
      </c>
      <c r="X300" s="4">
        <f t="shared" si="67"/>
        <v>18.500000000000028</v>
      </c>
      <c r="Y300" s="4">
        <f t="shared" si="67"/>
        <v>18.10000000000003</v>
      </c>
      <c r="Z300" s="4">
        <f t="shared" si="67"/>
        <v>17.800000000000029</v>
      </c>
      <c r="AA300" s="4">
        <f t="shared" si="67"/>
        <v>17.500000000000028</v>
      </c>
      <c r="AB300" s="4">
        <f t="shared" si="67"/>
        <v>17.200000000000028</v>
      </c>
      <c r="AC300" s="4">
        <f t="shared" si="67"/>
        <v>16.900000000000027</v>
      </c>
      <c r="AD300" s="4">
        <f t="shared" si="67"/>
        <v>16.600000000000026</v>
      </c>
      <c r="AE300" s="4">
        <f t="shared" si="67"/>
        <v>16.300000000000026</v>
      </c>
      <c r="AF300" s="4">
        <f t="shared" si="67"/>
        <v>16.000000000000025</v>
      </c>
      <c r="AG300" s="4">
        <f t="shared" si="67"/>
        <v>15.700000000000024</v>
      </c>
      <c r="AH300" s="4">
        <f t="shared" si="67"/>
        <v>15.400000000000023</v>
      </c>
      <c r="AI300" s="4">
        <f t="shared" si="67"/>
        <v>15.100000000000023</v>
      </c>
      <c r="AJ300" s="4">
        <f t="shared" si="67"/>
        <v>14.800000000000022</v>
      </c>
      <c r="AK300" s="4">
        <f t="shared" si="67"/>
        <v>14.500000000000021</v>
      </c>
    </row>
    <row r="301" spans="3:37" outlineLevel="1" x14ac:dyDescent="0.25">
      <c r="C301" s="38">
        <v>27.2</v>
      </c>
      <c r="D301" s="4">
        <f t="shared" si="67"/>
        <v>26.7</v>
      </c>
      <c r="E301" s="4">
        <f t="shared" si="67"/>
        <v>26.2</v>
      </c>
      <c r="F301" s="4">
        <f t="shared" si="67"/>
        <v>25.8</v>
      </c>
      <c r="G301" s="4">
        <f t="shared" si="67"/>
        <v>25.400000000000002</v>
      </c>
      <c r="H301" s="4">
        <f t="shared" si="67"/>
        <v>25.000000000000004</v>
      </c>
      <c r="I301" s="4">
        <f t="shared" si="67"/>
        <v>24.600000000000005</v>
      </c>
      <c r="J301" s="4">
        <f t="shared" si="67"/>
        <v>24.200000000000006</v>
      </c>
      <c r="K301" s="4">
        <f t="shared" si="67"/>
        <v>23.800000000000008</v>
      </c>
      <c r="L301" s="4">
        <f t="shared" si="67"/>
        <v>23.400000000000009</v>
      </c>
      <c r="M301" s="4">
        <f t="shared" si="67"/>
        <v>23.000000000000011</v>
      </c>
      <c r="N301" s="4">
        <f t="shared" si="67"/>
        <v>22.600000000000012</v>
      </c>
      <c r="O301" s="4">
        <f t="shared" si="67"/>
        <v>22.200000000000014</v>
      </c>
      <c r="P301" s="4">
        <f t="shared" si="67"/>
        <v>21.800000000000015</v>
      </c>
      <c r="Q301" s="4">
        <f t="shared" si="67"/>
        <v>21.400000000000016</v>
      </c>
      <c r="R301" s="4">
        <f t="shared" si="67"/>
        <v>21.000000000000018</v>
      </c>
      <c r="S301" s="4">
        <f t="shared" si="67"/>
        <v>20.600000000000019</v>
      </c>
      <c r="T301" s="4">
        <f t="shared" si="67"/>
        <v>20.200000000000021</v>
      </c>
      <c r="U301" s="4">
        <f t="shared" si="67"/>
        <v>19.800000000000022</v>
      </c>
      <c r="V301" s="4">
        <f t="shared" si="67"/>
        <v>19.400000000000023</v>
      </c>
      <c r="W301" s="4">
        <f t="shared" si="67"/>
        <v>19.000000000000025</v>
      </c>
      <c r="X301" s="4">
        <f t="shared" si="67"/>
        <v>18.600000000000026</v>
      </c>
      <c r="Y301" s="4">
        <f t="shared" si="67"/>
        <v>18.200000000000028</v>
      </c>
      <c r="Z301" s="4">
        <f t="shared" si="67"/>
        <v>17.900000000000027</v>
      </c>
      <c r="AA301" s="4">
        <f t="shared" si="67"/>
        <v>17.600000000000026</v>
      </c>
      <c r="AB301" s="4">
        <f t="shared" si="67"/>
        <v>17.300000000000026</v>
      </c>
      <c r="AC301" s="4">
        <f t="shared" si="67"/>
        <v>17.000000000000025</v>
      </c>
      <c r="AD301" s="4">
        <f t="shared" si="67"/>
        <v>16.700000000000024</v>
      </c>
      <c r="AE301" s="4">
        <f t="shared" si="67"/>
        <v>16.400000000000023</v>
      </c>
      <c r="AF301" s="4">
        <f t="shared" si="67"/>
        <v>16.100000000000023</v>
      </c>
      <c r="AG301" s="4">
        <f t="shared" si="67"/>
        <v>15.800000000000022</v>
      </c>
      <c r="AH301" s="4">
        <f t="shared" si="67"/>
        <v>15.500000000000021</v>
      </c>
      <c r="AI301" s="4">
        <f t="shared" si="67"/>
        <v>15.200000000000021</v>
      </c>
      <c r="AJ301" s="4">
        <f t="shared" si="67"/>
        <v>14.90000000000002</v>
      </c>
      <c r="AK301" s="4">
        <f t="shared" si="67"/>
        <v>14.600000000000019</v>
      </c>
    </row>
    <row r="302" spans="3:37" outlineLevel="1" x14ac:dyDescent="0.25">
      <c r="C302" s="38">
        <v>27.3</v>
      </c>
      <c r="D302" s="4">
        <f t="shared" si="67"/>
        <v>26.8</v>
      </c>
      <c r="E302" s="4">
        <f t="shared" si="67"/>
        <v>26.3</v>
      </c>
      <c r="F302" s="4">
        <f t="shared" si="67"/>
        <v>25.900000000000002</v>
      </c>
      <c r="G302" s="4">
        <f t="shared" si="67"/>
        <v>25.500000000000004</v>
      </c>
      <c r="H302" s="4">
        <f t="shared" si="67"/>
        <v>25.100000000000005</v>
      </c>
      <c r="I302" s="4">
        <f t="shared" si="67"/>
        <v>24.700000000000006</v>
      </c>
      <c r="J302" s="4">
        <f t="shared" si="67"/>
        <v>24.300000000000008</v>
      </c>
      <c r="K302" s="4">
        <f t="shared" si="67"/>
        <v>23.900000000000009</v>
      </c>
      <c r="L302" s="4">
        <f t="shared" si="67"/>
        <v>23.500000000000011</v>
      </c>
      <c r="M302" s="4">
        <f t="shared" si="67"/>
        <v>23.100000000000012</v>
      </c>
      <c r="N302" s="4">
        <f t="shared" si="67"/>
        <v>22.700000000000014</v>
      </c>
      <c r="O302" s="4">
        <f t="shared" si="67"/>
        <v>22.300000000000015</v>
      </c>
      <c r="P302" s="4">
        <f t="shared" si="67"/>
        <v>21.900000000000016</v>
      </c>
      <c r="Q302" s="4">
        <f t="shared" si="67"/>
        <v>21.500000000000018</v>
      </c>
      <c r="R302" s="4">
        <f t="shared" si="67"/>
        <v>21.100000000000019</v>
      </c>
      <c r="S302" s="4">
        <f t="shared" si="67"/>
        <v>20.700000000000021</v>
      </c>
      <c r="T302" s="4">
        <f t="shared" si="67"/>
        <v>20.300000000000022</v>
      </c>
      <c r="U302" s="4">
        <f t="shared" si="67"/>
        <v>19.900000000000023</v>
      </c>
      <c r="V302" s="4">
        <f t="shared" si="67"/>
        <v>19.500000000000025</v>
      </c>
      <c r="W302" s="4">
        <f t="shared" si="67"/>
        <v>19.100000000000026</v>
      </c>
      <c r="X302" s="4">
        <f t="shared" si="67"/>
        <v>18.700000000000028</v>
      </c>
      <c r="Y302" s="4">
        <f t="shared" si="67"/>
        <v>18.300000000000029</v>
      </c>
      <c r="Z302" s="4">
        <f t="shared" si="67"/>
        <v>18.000000000000028</v>
      </c>
      <c r="AA302" s="4">
        <f t="shared" si="67"/>
        <v>17.700000000000028</v>
      </c>
      <c r="AB302" s="4">
        <f t="shared" si="67"/>
        <v>17.400000000000027</v>
      </c>
      <c r="AC302" s="4">
        <f t="shared" si="67"/>
        <v>17.100000000000026</v>
      </c>
      <c r="AD302" s="4">
        <f t="shared" si="67"/>
        <v>16.800000000000026</v>
      </c>
      <c r="AE302" s="4">
        <f t="shared" si="67"/>
        <v>16.500000000000025</v>
      </c>
      <c r="AF302" s="4">
        <f t="shared" si="67"/>
        <v>16.200000000000024</v>
      </c>
      <c r="AG302" s="4">
        <f t="shared" si="67"/>
        <v>15.900000000000023</v>
      </c>
      <c r="AH302" s="4">
        <f t="shared" si="67"/>
        <v>15.600000000000023</v>
      </c>
      <c r="AI302" s="4">
        <f t="shared" si="67"/>
        <v>15.300000000000022</v>
      </c>
      <c r="AJ302" s="4">
        <f t="shared" si="67"/>
        <v>15.000000000000021</v>
      </c>
      <c r="AK302" s="4">
        <f t="shared" si="67"/>
        <v>14.700000000000021</v>
      </c>
    </row>
    <row r="303" spans="3:37" outlineLevel="1" x14ac:dyDescent="0.25">
      <c r="C303" s="38">
        <v>27.4</v>
      </c>
      <c r="D303" s="4">
        <f t="shared" si="67"/>
        <v>26.9</v>
      </c>
      <c r="E303" s="4">
        <f t="shared" si="67"/>
        <v>26.4</v>
      </c>
      <c r="F303" s="4">
        <f t="shared" si="67"/>
        <v>26</v>
      </c>
      <c r="G303" s="4">
        <f t="shared" si="67"/>
        <v>25.6</v>
      </c>
      <c r="H303" s="4">
        <f t="shared" si="67"/>
        <v>25.200000000000003</v>
      </c>
      <c r="I303" s="4">
        <f t="shared" si="67"/>
        <v>24.800000000000004</v>
      </c>
      <c r="J303" s="4">
        <f t="shared" si="67"/>
        <v>24.400000000000006</v>
      </c>
      <c r="K303" s="4">
        <f t="shared" si="67"/>
        <v>24.000000000000007</v>
      </c>
      <c r="L303" s="4">
        <f t="shared" si="67"/>
        <v>23.600000000000009</v>
      </c>
      <c r="M303" s="4">
        <f t="shared" si="67"/>
        <v>23.20000000000001</v>
      </c>
      <c r="N303" s="4">
        <f t="shared" si="67"/>
        <v>22.800000000000011</v>
      </c>
      <c r="O303" s="4">
        <f t="shared" si="67"/>
        <v>22.400000000000013</v>
      </c>
      <c r="P303" s="4">
        <f t="shared" si="67"/>
        <v>22.000000000000014</v>
      </c>
      <c r="Q303" s="4">
        <f t="shared" si="67"/>
        <v>21.600000000000016</v>
      </c>
      <c r="R303" s="4">
        <f t="shared" si="67"/>
        <v>21.200000000000017</v>
      </c>
      <c r="S303" s="4">
        <f t="shared" si="67"/>
        <v>20.800000000000018</v>
      </c>
      <c r="T303" s="4">
        <f t="shared" si="67"/>
        <v>20.40000000000002</v>
      </c>
      <c r="U303" s="4">
        <f t="shared" si="67"/>
        <v>20.000000000000021</v>
      </c>
      <c r="V303" s="4">
        <f t="shared" si="67"/>
        <v>19.600000000000023</v>
      </c>
      <c r="W303" s="4">
        <f t="shared" si="67"/>
        <v>19.200000000000024</v>
      </c>
      <c r="X303" s="4">
        <f t="shared" si="67"/>
        <v>18.800000000000026</v>
      </c>
      <c r="Y303" s="4">
        <f t="shared" si="67"/>
        <v>18.400000000000027</v>
      </c>
      <c r="Z303" s="4">
        <f t="shared" si="67"/>
        <v>18.100000000000026</v>
      </c>
      <c r="AA303" s="4">
        <f t="shared" si="67"/>
        <v>17.800000000000026</v>
      </c>
      <c r="AB303" s="4">
        <f t="shared" si="67"/>
        <v>17.500000000000025</v>
      </c>
      <c r="AC303" s="4">
        <f t="shared" si="67"/>
        <v>17.200000000000024</v>
      </c>
      <c r="AD303" s="4">
        <f t="shared" si="67"/>
        <v>16.900000000000023</v>
      </c>
      <c r="AE303" s="4">
        <f t="shared" si="67"/>
        <v>16.600000000000023</v>
      </c>
      <c r="AF303" s="4">
        <f t="shared" si="67"/>
        <v>16.300000000000022</v>
      </c>
      <c r="AG303" s="4">
        <f t="shared" si="67"/>
        <v>16.000000000000021</v>
      </c>
      <c r="AH303" s="4">
        <f t="shared" si="67"/>
        <v>15.700000000000021</v>
      </c>
      <c r="AI303" s="4">
        <f t="shared" si="67"/>
        <v>15.40000000000002</v>
      </c>
      <c r="AJ303" s="4">
        <f t="shared" si="67"/>
        <v>15.100000000000019</v>
      </c>
      <c r="AK303" s="4">
        <f t="shared" si="67"/>
        <v>14.800000000000018</v>
      </c>
    </row>
    <row r="304" spans="3:37" outlineLevel="1" x14ac:dyDescent="0.25">
      <c r="C304" s="38">
        <v>27.5</v>
      </c>
      <c r="D304" s="4">
        <f t="shared" si="67"/>
        <v>27</v>
      </c>
      <c r="E304" s="4">
        <f t="shared" si="67"/>
        <v>26.5</v>
      </c>
      <c r="F304" s="4">
        <f t="shared" si="67"/>
        <v>26</v>
      </c>
      <c r="G304" s="4">
        <f t="shared" si="67"/>
        <v>25.6</v>
      </c>
      <c r="H304" s="4">
        <f t="shared" si="67"/>
        <v>25.200000000000003</v>
      </c>
      <c r="I304" s="4">
        <f t="shared" si="67"/>
        <v>24.800000000000004</v>
      </c>
      <c r="J304" s="4">
        <f t="shared" si="67"/>
        <v>24.400000000000006</v>
      </c>
      <c r="K304" s="4">
        <f t="shared" si="67"/>
        <v>24.000000000000007</v>
      </c>
      <c r="L304" s="4">
        <f t="shared" si="67"/>
        <v>23.600000000000009</v>
      </c>
      <c r="M304" s="4">
        <f t="shared" si="67"/>
        <v>23.20000000000001</v>
      </c>
      <c r="N304" s="4">
        <f t="shared" si="67"/>
        <v>22.800000000000011</v>
      </c>
      <c r="O304" s="4">
        <f t="shared" si="67"/>
        <v>22.400000000000013</v>
      </c>
      <c r="P304" s="4">
        <f t="shared" si="67"/>
        <v>22.000000000000014</v>
      </c>
      <c r="Q304" s="4">
        <f t="shared" si="67"/>
        <v>21.600000000000016</v>
      </c>
      <c r="R304" s="4">
        <f t="shared" si="67"/>
        <v>21.200000000000017</v>
      </c>
      <c r="S304" s="4">
        <f t="shared" si="67"/>
        <v>20.800000000000018</v>
      </c>
      <c r="T304" s="4">
        <f t="shared" si="67"/>
        <v>20.40000000000002</v>
      </c>
      <c r="U304" s="4">
        <f t="shared" ref="U304:AK304" si="68">(IF(T304&lt;=4.4,T304-$E$6,IF(AND(T304&gt;=4.5,T304&lt;=11.4),T304-$E$7,IF(AND(T304&gt;=11.5,T304&lt;=18.4),T304-$E$8,IF(AND(T304&gt;=18.5,T304&lt;=26.4),T304-$E$9,IF(AND(T304&gt;=26.4,T304&lt;=36),T304-$E$10,IF(T304&gt;=37,T304-$E$11)))))))</f>
        <v>20.000000000000021</v>
      </c>
      <c r="V304" s="4">
        <f t="shared" si="68"/>
        <v>19.600000000000023</v>
      </c>
      <c r="W304" s="4">
        <f t="shared" si="68"/>
        <v>19.200000000000024</v>
      </c>
      <c r="X304" s="4">
        <f t="shared" si="68"/>
        <v>18.800000000000026</v>
      </c>
      <c r="Y304" s="4">
        <f t="shared" si="68"/>
        <v>18.400000000000027</v>
      </c>
      <c r="Z304" s="4">
        <f t="shared" si="68"/>
        <v>18.100000000000026</v>
      </c>
      <c r="AA304" s="4">
        <f t="shared" si="68"/>
        <v>17.800000000000026</v>
      </c>
      <c r="AB304" s="4">
        <f t="shared" si="68"/>
        <v>17.500000000000025</v>
      </c>
      <c r="AC304" s="4">
        <f t="shared" si="68"/>
        <v>17.200000000000024</v>
      </c>
      <c r="AD304" s="4">
        <f t="shared" si="68"/>
        <v>16.900000000000023</v>
      </c>
      <c r="AE304" s="4">
        <f t="shared" si="68"/>
        <v>16.600000000000023</v>
      </c>
      <c r="AF304" s="4">
        <f t="shared" si="68"/>
        <v>16.300000000000022</v>
      </c>
      <c r="AG304" s="4">
        <f t="shared" si="68"/>
        <v>16.000000000000021</v>
      </c>
      <c r="AH304" s="4">
        <f t="shared" si="68"/>
        <v>15.700000000000021</v>
      </c>
      <c r="AI304" s="4">
        <f t="shared" si="68"/>
        <v>15.40000000000002</v>
      </c>
      <c r="AJ304" s="4">
        <f t="shared" si="68"/>
        <v>15.100000000000019</v>
      </c>
      <c r="AK304" s="4">
        <f t="shared" si="68"/>
        <v>14.800000000000018</v>
      </c>
    </row>
    <row r="305" spans="3:37" outlineLevel="1" x14ac:dyDescent="0.25">
      <c r="C305" s="38">
        <v>27.6</v>
      </c>
      <c r="D305" s="4">
        <f t="shared" ref="D305:AK312" si="69">(IF(C305&lt;=4.4,C305-$E$6,IF(AND(C305&gt;=4.5,C305&lt;=11.4),C305-$E$7,IF(AND(C305&gt;=11.5,C305&lt;=18.4),C305-$E$8,IF(AND(C305&gt;=18.5,C305&lt;=26.4),C305-$E$9,IF(AND(C305&gt;=26.4,C305&lt;=36),C305-$E$10,IF(C305&gt;=37,C305-$E$11)))))))</f>
        <v>27.1</v>
      </c>
      <c r="E305" s="4">
        <f t="shared" si="69"/>
        <v>26.6</v>
      </c>
      <c r="F305" s="4">
        <f t="shared" si="69"/>
        <v>26.1</v>
      </c>
      <c r="G305" s="4">
        <f t="shared" si="69"/>
        <v>25.700000000000003</v>
      </c>
      <c r="H305" s="4">
        <f t="shared" si="69"/>
        <v>25.300000000000004</v>
      </c>
      <c r="I305" s="4">
        <f t="shared" si="69"/>
        <v>24.900000000000006</v>
      </c>
      <c r="J305" s="4">
        <f t="shared" si="69"/>
        <v>24.500000000000007</v>
      </c>
      <c r="K305" s="4">
        <f t="shared" si="69"/>
        <v>24.100000000000009</v>
      </c>
      <c r="L305" s="4">
        <f t="shared" si="69"/>
        <v>23.70000000000001</v>
      </c>
      <c r="M305" s="4">
        <f t="shared" si="69"/>
        <v>23.300000000000011</v>
      </c>
      <c r="N305" s="4">
        <f t="shared" si="69"/>
        <v>22.900000000000013</v>
      </c>
      <c r="O305" s="4">
        <f t="shared" si="69"/>
        <v>22.500000000000014</v>
      </c>
      <c r="P305" s="4">
        <f t="shared" si="69"/>
        <v>22.100000000000016</v>
      </c>
      <c r="Q305" s="4">
        <f t="shared" si="69"/>
        <v>21.700000000000017</v>
      </c>
      <c r="R305" s="4">
        <f t="shared" si="69"/>
        <v>21.300000000000018</v>
      </c>
      <c r="S305" s="4">
        <f t="shared" si="69"/>
        <v>20.90000000000002</v>
      </c>
      <c r="T305" s="4">
        <f t="shared" si="69"/>
        <v>20.500000000000021</v>
      </c>
      <c r="U305" s="4">
        <f t="shared" si="69"/>
        <v>20.100000000000023</v>
      </c>
      <c r="V305" s="4">
        <f t="shared" si="69"/>
        <v>19.700000000000024</v>
      </c>
      <c r="W305" s="4">
        <f t="shared" si="69"/>
        <v>19.300000000000026</v>
      </c>
      <c r="X305" s="4">
        <f t="shared" si="69"/>
        <v>18.900000000000027</v>
      </c>
      <c r="Y305" s="4">
        <f t="shared" si="69"/>
        <v>18.500000000000028</v>
      </c>
      <c r="Z305" s="4">
        <f t="shared" si="69"/>
        <v>18.10000000000003</v>
      </c>
      <c r="AA305" s="4">
        <f t="shared" si="69"/>
        <v>17.800000000000029</v>
      </c>
      <c r="AB305" s="4">
        <f t="shared" si="69"/>
        <v>17.500000000000028</v>
      </c>
      <c r="AC305" s="4">
        <f t="shared" si="69"/>
        <v>17.200000000000028</v>
      </c>
      <c r="AD305" s="4">
        <f t="shared" si="69"/>
        <v>16.900000000000027</v>
      </c>
      <c r="AE305" s="4">
        <f t="shared" si="69"/>
        <v>16.600000000000026</v>
      </c>
      <c r="AF305" s="4">
        <f t="shared" si="69"/>
        <v>16.300000000000026</v>
      </c>
      <c r="AG305" s="4">
        <f t="shared" si="69"/>
        <v>16.000000000000025</v>
      </c>
      <c r="AH305" s="4">
        <f t="shared" si="69"/>
        <v>15.700000000000024</v>
      </c>
      <c r="AI305" s="4">
        <f t="shared" si="69"/>
        <v>15.400000000000023</v>
      </c>
      <c r="AJ305" s="4">
        <f t="shared" si="69"/>
        <v>15.100000000000023</v>
      </c>
      <c r="AK305" s="4">
        <f t="shared" si="69"/>
        <v>14.800000000000022</v>
      </c>
    </row>
    <row r="306" spans="3:37" outlineLevel="1" x14ac:dyDescent="0.25">
      <c r="C306" s="38">
        <v>27.7</v>
      </c>
      <c r="D306" s="4">
        <f t="shared" si="69"/>
        <v>27.2</v>
      </c>
      <c r="E306" s="4">
        <f t="shared" si="69"/>
        <v>26.7</v>
      </c>
      <c r="F306" s="4">
        <f t="shared" si="69"/>
        <v>26.2</v>
      </c>
      <c r="G306" s="4">
        <f t="shared" si="69"/>
        <v>25.8</v>
      </c>
      <c r="H306" s="4">
        <f t="shared" si="69"/>
        <v>25.400000000000002</v>
      </c>
      <c r="I306" s="4">
        <f t="shared" si="69"/>
        <v>25.000000000000004</v>
      </c>
      <c r="J306" s="4">
        <f t="shared" si="69"/>
        <v>24.600000000000005</v>
      </c>
      <c r="K306" s="4">
        <f t="shared" si="69"/>
        <v>24.200000000000006</v>
      </c>
      <c r="L306" s="4">
        <f t="shared" si="69"/>
        <v>23.800000000000008</v>
      </c>
      <c r="M306" s="4">
        <f t="shared" si="69"/>
        <v>23.400000000000009</v>
      </c>
      <c r="N306" s="4">
        <f t="shared" si="69"/>
        <v>23.000000000000011</v>
      </c>
      <c r="O306" s="4">
        <f t="shared" si="69"/>
        <v>22.600000000000012</v>
      </c>
      <c r="P306" s="4">
        <f t="shared" si="69"/>
        <v>22.200000000000014</v>
      </c>
      <c r="Q306" s="4">
        <f t="shared" si="69"/>
        <v>21.800000000000015</v>
      </c>
      <c r="R306" s="4">
        <f t="shared" si="69"/>
        <v>21.400000000000016</v>
      </c>
      <c r="S306" s="4">
        <f t="shared" si="69"/>
        <v>21.000000000000018</v>
      </c>
      <c r="T306" s="4">
        <f t="shared" si="69"/>
        <v>20.600000000000019</v>
      </c>
      <c r="U306" s="4">
        <f t="shared" si="69"/>
        <v>20.200000000000021</v>
      </c>
      <c r="V306" s="4">
        <f t="shared" si="69"/>
        <v>19.800000000000022</v>
      </c>
      <c r="W306" s="4">
        <f t="shared" si="69"/>
        <v>19.400000000000023</v>
      </c>
      <c r="X306" s="4">
        <f t="shared" si="69"/>
        <v>19.000000000000025</v>
      </c>
      <c r="Y306" s="4">
        <f t="shared" si="69"/>
        <v>18.600000000000026</v>
      </c>
      <c r="Z306" s="4">
        <f t="shared" si="69"/>
        <v>18.200000000000028</v>
      </c>
      <c r="AA306" s="4">
        <f t="shared" si="69"/>
        <v>17.900000000000027</v>
      </c>
      <c r="AB306" s="4">
        <f t="shared" si="69"/>
        <v>17.600000000000026</v>
      </c>
      <c r="AC306" s="4">
        <f t="shared" si="69"/>
        <v>17.300000000000026</v>
      </c>
      <c r="AD306" s="4">
        <f t="shared" si="69"/>
        <v>17.000000000000025</v>
      </c>
      <c r="AE306" s="4">
        <f t="shared" si="69"/>
        <v>16.700000000000024</v>
      </c>
      <c r="AF306" s="4">
        <f t="shared" si="69"/>
        <v>16.400000000000023</v>
      </c>
      <c r="AG306" s="4">
        <f t="shared" si="69"/>
        <v>16.100000000000023</v>
      </c>
      <c r="AH306" s="4">
        <f t="shared" si="69"/>
        <v>15.800000000000022</v>
      </c>
      <c r="AI306" s="4">
        <f t="shared" si="69"/>
        <v>15.500000000000021</v>
      </c>
      <c r="AJ306" s="4">
        <f t="shared" si="69"/>
        <v>15.200000000000021</v>
      </c>
      <c r="AK306" s="4">
        <f t="shared" si="69"/>
        <v>14.90000000000002</v>
      </c>
    </row>
    <row r="307" spans="3:37" outlineLevel="1" x14ac:dyDescent="0.25">
      <c r="C307" s="38">
        <v>27.8</v>
      </c>
      <c r="D307" s="4">
        <f t="shared" si="69"/>
        <v>27.3</v>
      </c>
      <c r="E307" s="4">
        <f t="shared" si="69"/>
        <v>26.8</v>
      </c>
      <c r="F307" s="4">
        <f t="shared" si="69"/>
        <v>26.3</v>
      </c>
      <c r="G307" s="4">
        <f t="shared" si="69"/>
        <v>25.900000000000002</v>
      </c>
      <c r="H307" s="4">
        <f t="shared" si="69"/>
        <v>25.500000000000004</v>
      </c>
      <c r="I307" s="4">
        <f t="shared" si="69"/>
        <v>25.100000000000005</v>
      </c>
      <c r="J307" s="4">
        <f t="shared" si="69"/>
        <v>24.700000000000006</v>
      </c>
      <c r="K307" s="4">
        <f t="shared" si="69"/>
        <v>24.300000000000008</v>
      </c>
      <c r="L307" s="4">
        <f t="shared" si="69"/>
        <v>23.900000000000009</v>
      </c>
      <c r="M307" s="4">
        <f t="shared" si="69"/>
        <v>23.500000000000011</v>
      </c>
      <c r="N307" s="4">
        <f t="shared" si="69"/>
        <v>23.100000000000012</v>
      </c>
      <c r="O307" s="4">
        <f t="shared" si="69"/>
        <v>22.700000000000014</v>
      </c>
      <c r="P307" s="4">
        <f t="shared" si="69"/>
        <v>22.300000000000015</v>
      </c>
      <c r="Q307" s="4">
        <f t="shared" si="69"/>
        <v>21.900000000000016</v>
      </c>
      <c r="R307" s="4">
        <f t="shared" si="69"/>
        <v>21.500000000000018</v>
      </c>
      <c r="S307" s="4">
        <f t="shared" si="69"/>
        <v>21.100000000000019</v>
      </c>
      <c r="T307" s="4">
        <f t="shared" si="69"/>
        <v>20.700000000000021</v>
      </c>
      <c r="U307" s="4">
        <f t="shared" si="69"/>
        <v>20.300000000000022</v>
      </c>
      <c r="V307" s="4">
        <f t="shared" si="69"/>
        <v>19.900000000000023</v>
      </c>
      <c r="W307" s="4">
        <f t="shared" si="69"/>
        <v>19.500000000000025</v>
      </c>
      <c r="X307" s="4">
        <f t="shared" si="69"/>
        <v>19.100000000000026</v>
      </c>
      <c r="Y307" s="4">
        <f t="shared" si="69"/>
        <v>18.700000000000028</v>
      </c>
      <c r="Z307" s="4">
        <f t="shared" si="69"/>
        <v>18.300000000000029</v>
      </c>
      <c r="AA307" s="4">
        <f t="shared" si="69"/>
        <v>18.000000000000028</v>
      </c>
      <c r="AB307" s="4">
        <f t="shared" si="69"/>
        <v>17.700000000000028</v>
      </c>
      <c r="AC307" s="4">
        <f t="shared" si="69"/>
        <v>17.400000000000027</v>
      </c>
      <c r="AD307" s="4">
        <f t="shared" si="69"/>
        <v>17.100000000000026</v>
      </c>
      <c r="AE307" s="4">
        <f t="shared" si="69"/>
        <v>16.800000000000026</v>
      </c>
      <c r="AF307" s="4">
        <f t="shared" si="69"/>
        <v>16.500000000000025</v>
      </c>
      <c r="AG307" s="4">
        <f t="shared" si="69"/>
        <v>16.200000000000024</v>
      </c>
      <c r="AH307" s="4">
        <f t="shared" si="69"/>
        <v>15.900000000000023</v>
      </c>
      <c r="AI307" s="4">
        <f t="shared" si="69"/>
        <v>15.600000000000023</v>
      </c>
      <c r="AJ307" s="4">
        <f t="shared" si="69"/>
        <v>15.300000000000022</v>
      </c>
      <c r="AK307" s="4">
        <f t="shared" si="69"/>
        <v>15.000000000000021</v>
      </c>
    </row>
    <row r="308" spans="3:37" outlineLevel="1" x14ac:dyDescent="0.25">
      <c r="C308" s="38">
        <v>27.9</v>
      </c>
      <c r="D308" s="4">
        <f t="shared" si="69"/>
        <v>27.4</v>
      </c>
      <c r="E308" s="4">
        <f t="shared" si="69"/>
        <v>26.9</v>
      </c>
      <c r="F308" s="4">
        <f t="shared" si="69"/>
        <v>26.4</v>
      </c>
      <c r="G308" s="4">
        <f t="shared" si="69"/>
        <v>26</v>
      </c>
      <c r="H308" s="4">
        <f t="shared" si="69"/>
        <v>25.6</v>
      </c>
      <c r="I308" s="4">
        <f t="shared" si="69"/>
        <v>25.200000000000003</v>
      </c>
      <c r="J308" s="4">
        <f t="shared" si="69"/>
        <v>24.800000000000004</v>
      </c>
      <c r="K308" s="4">
        <f t="shared" si="69"/>
        <v>24.400000000000006</v>
      </c>
      <c r="L308" s="4">
        <f t="shared" si="69"/>
        <v>24.000000000000007</v>
      </c>
      <c r="M308" s="4">
        <f t="shared" si="69"/>
        <v>23.600000000000009</v>
      </c>
      <c r="N308" s="4">
        <f t="shared" si="69"/>
        <v>23.20000000000001</v>
      </c>
      <c r="O308" s="4">
        <f t="shared" si="69"/>
        <v>22.800000000000011</v>
      </c>
      <c r="P308" s="4">
        <f t="shared" si="69"/>
        <v>22.400000000000013</v>
      </c>
      <c r="Q308" s="4">
        <f t="shared" si="69"/>
        <v>22.000000000000014</v>
      </c>
      <c r="R308" s="4">
        <f t="shared" si="69"/>
        <v>21.600000000000016</v>
      </c>
      <c r="S308" s="4">
        <f t="shared" si="69"/>
        <v>21.200000000000017</v>
      </c>
      <c r="T308" s="4">
        <f t="shared" si="69"/>
        <v>20.800000000000018</v>
      </c>
      <c r="U308" s="4">
        <f t="shared" si="69"/>
        <v>20.40000000000002</v>
      </c>
      <c r="V308" s="4">
        <f t="shared" si="69"/>
        <v>20.000000000000021</v>
      </c>
      <c r="W308" s="4">
        <f t="shared" si="69"/>
        <v>19.600000000000023</v>
      </c>
      <c r="X308" s="4">
        <f t="shared" si="69"/>
        <v>19.200000000000024</v>
      </c>
      <c r="Y308" s="4">
        <f t="shared" si="69"/>
        <v>18.800000000000026</v>
      </c>
      <c r="Z308" s="4">
        <f t="shared" si="69"/>
        <v>18.400000000000027</v>
      </c>
      <c r="AA308" s="4">
        <f t="shared" si="69"/>
        <v>18.100000000000026</v>
      </c>
      <c r="AB308" s="4">
        <f t="shared" si="69"/>
        <v>17.800000000000026</v>
      </c>
      <c r="AC308" s="4">
        <f t="shared" si="69"/>
        <v>17.500000000000025</v>
      </c>
      <c r="AD308" s="4">
        <f t="shared" si="69"/>
        <v>17.200000000000024</v>
      </c>
      <c r="AE308" s="4">
        <f t="shared" si="69"/>
        <v>16.900000000000023</v>
      </c>
      <c r="AF308" s="4">
        <f t="shared" si="69"/>
        <v>16.600000000000023</v>
      </c>
      <c r="AG308" s="4">
        <f t="shared" si="69"/>
        <v>16.300000000000022</v>
      </c>
      <c r="AH308" s="4">
        <f t="shared" si="69"/>
        <v>16.000000000000021</v>
      </c>
      <c r="AI308" s="4">
        <f t="shared" si="69"/>
        <v>15.700000000000021</v>
      </c>
      <c r="AJ308" s="4">
        <f t="shared" si="69"/>
        <v>15.40000000000002</v>
      </c>
      <c r="AK308" s="4">
        <f t="shared" si="69"/>
        <v>15.100000000000019</v>
      </c>
    </row>
    <row r="309" spans="3:37" outlineLevel="1" x14ac:dyDescent="0.25">
      <c r="C309" s="38">
        <v>28</v>
      </c>
      <c r="D309" s="4">
        <f t="shared" si="69"/>
        <v>27.5</v>
      </c>
      <c r="E309" s="4">
        <f t="shared" si="69"/>
        <v>27</v>
      </c>
      <c r="F309" s="4">
        <f t="shared" si="69"/>
        <v>26.5</v>
      </c>
      <c r="G309" s="4">
        <f t="shared" si="69"/>
        <v>26</v>
      </c>
      <c r="H309" s="4">
        <f t="shared" si="69"/>
        <v>25.6</v>
      </c>
      <c r="I309" s="4">
        <f t="shared" si="69"/>
        <v>25.200000000000003</v>
      </c>
      <c r="J309" s="4">
        <f t="shared" si="69"/>
        <v>24.800000000000004</v>
      </c>
      <c r="K309" s="4">
        <f t="shared" si="69"/>
        <v>24.400000000000006</v>
      </c>
      <c r="L309" s="4">
        <f t="shared" si="69"/>
        <v>24.000000000000007</v>
      </c>
      <c r="M309" s="4">
        <f t="shared" si="69"/>
        <v>23.600000000000009</v>
      </c>
      <c r="N309" s="4">
        <f t="shared" si="69"/>
        <v>23.20000000000001</v>
      </c>
      <c r="O309" s="4">
        <f t="shared" si="69"/>
        <v>22.800000000000011</v>
      </c>
      <c r="P309" s="4">
        <f t="shared" si="69"/>
        <v>22.400000000000013</v>
      </c>
      <c r="Q309" s="4">
        <f t="shared" si="69"/>
        <v>22.000000000000014</v>
      </c>
      <c r="R309" s="4">
        <f t="shared" si="69"/>
        <v>21.600000000000016</v>
      </c>
      <c r="S309" s="4">
        <f t="shared" si="69"/>
        <v>21.200000000000017</v>
      </c>
      <c r="T309" s="4">
        <f t="shared" si="69"/>
        <v>20.800000000000018</v>
      </c>
      <c r="U309" s="4">
        <f t="shared" si="69"/>
        <v>20.40000000000002</v>
      </c>
      <c r="V309" s="4">
        <f t="shared" si="69"/>
        <v>20.000000000000021</v>
      </c>
      <c r="W309" s="4">
        <f t="shared" si="69"/>
        <v>19.600000000000023</v>
      </c>
      <c r="X309" s="4">
        <f t="shared" si="69"/>
        <v>19.200000000000024</v>
      </c>
      <c r="Y309" s="4">
        <f t="shared" si="69"/>
        <v>18.800000000000026</v>
      </c>
      <c r="Z309" s="4">
        <f t="shared" si="69"/>
        <v>18.400000000000027</v>
      </c>
      <c r="AA309" s="4">
        <f t="shared" si="69"/>
        <v>18.100000000000026</v>
      </c>
      <c r="AB309" s="4">
        <f t="shared" si="69"/>
        <v>17.800000000000026</v>
      </c>
      <c r="AC309" s="4">
        <f t="shared" si="69"/>
        <v>17.500000000000025</v>
      </c>
      <c r="AD309" s="4">
        <f t="shared" si="69"/>
        <v>17.200000000000024</v>
      </c>
      <c r="AE309" s="4">
        <f t="shared" si="69"/>
        <v>16.900000000000023</v>
      </c>
      <c r="AF309" s="4">
        <f t="shared" si="69"/>
        <v>16.600000000000023</v>
      </c>
      <c r="AG309" s="4">
        <f t="shared" si="69"/>
        <v>16.300000000000022</v>
      </c>
      <c r="AH309" s="4">
        <f t="shared" si="69"/>
        <v>16.000000000000021</v>
      </c>
      <c r="AI309" s="4">
        <f t="shared" si="69"/>
        <v>15.700000000000021</v>
      </c>
      <c r="AJ309" s="4">
        <f t="shared" si="69"/>
        <v>15.40000000000002</v>
      </c>
      <c r="AK309" s="4">
        <f t="shared" si="69"/>
        <v>15.100000000000019</v>
      </c>
    </row>
    <row r="310" spans="3:37" outlineLevel="1" x14ac:dyDescent="0.25">
      <c r="C310" s="38">
        <v>28.1</v>
      </c>
      <c r="D310" s="4">
        <f t="shared" si="69"/>
        <v>27.6</v>
      </c>
      <c r="E310" s="4">
        <f t="shared" si="69"/>
        <v>27.1</v>
      </c>
      <c r="F310" s="4">
        <f t="shared" si="69"/>
        <v>26.6</v>
      </c>
      <c r="G310" s="4">
        <f t="shared" si="69"/>
        <v>26.1</v>
      </c>
      <c r="H310" s="4">
        <f t="shared" si="69"/>
        <v>25.700000000000003</v>
      </c>
      <c r="I310" s="4">
        <f t="shared" si="69"/>
        <v>25.300000000000004</v>
      </c>
      <c r="J310" s="4">
        <f t="shared" si="69"/>
        <v>24.900000000000006</v>
      </c>
      <c r="K310" s="4">
        <f t="shared" si="69"/>
        <v>24.500000000000007</v>
      </c>
      <c r="L310" s="4">
        <f t="shared" si="69"/>
        <v>24.100000000000009</v>
      </c>
      <c r="M310" s="4">
        <f t="shared" si="69"/>
        <v>23.70000000000001</v>
      </c>
      <c r="N310" s="4">
        <f t="shared" si="69"/>
        <v>23.300000000000011</v>
      </c>
      <c r="O310" s="4">
        <f t="shared" si="69"/>
        <v>22.900000000000013</v>
      </c>
      <c r="P310" s="4">
        <f t="shared" si="69"/>
        <v>22.500000000000014</v>
      </c>
      <c r="Q310" s="4">
        <f t="shared" si="69"/>
        <v>22.100000000000016</v>
      </c>
      <c r="R310" s="4">
        <f t="shared" si="69"/>
        <v>21.700000000000017</v>
      </c>
      <c r="S310" s="4">
        <f t="shared" si="69"/>
        <v>21.300000000000018</v>
      </c>
      <c r="T310" s="4">
        <f t="shared" si="69"/>
        <v>20.90000000000002</v>
      </c>
      <c r="U310" s="4">
        <f t="shared" si="69"/>
        <v>20.500000000000021</v>
      </c>
      <c r="V310" s="4">
        <f t="shared" si="69"/>
        <v>20.100000000000023</v>
      </c>
      <c r="W310" s="4">
        <f t="shared" si="69"/>
        <v>19.700000000000024</v>
      </c>
      <c r="X310" s="4">
        <f t="shared" si="69"/>
        <v>19.300000000000026</v>
      </c>
      <c r="Y310" s="4">
        <f t="shared" si="69"/>
        <v>18.900000000000027</v>
      </c>
      <c r="Z310" s="4">
        <f t="shared" si="69"/>
        <v>18.500000000000028</v>
      </c>
      <c r="AA310" s="4">
        <f t="shared" si="69"/>
        <v>18.10000000000003</v>
      </c>
      <c r="AB310" s="4">
        <f t="shared" si="69"/>
        <v>17.800000000000029</v>
      </c>
      <c r="AC310" s="4">
        <f t="shared" si="69"/>
        <v>17.500000000000028</v>
      </c>
      <c r="AD310" s="4">
        <f t="shared" si="69"/>
        <v>17.200000000000028</v>
      </c>
      <c r="AE310" s="4">
        <f t="shared" si="69"/>
        <v>16.900000000000027</v>
      </c>
      <c r="AF310" s="4">
        <f t="shared" si="69"/>
        <v>16.600000000000026</v>
      </c>
      <c r="AG310" s="4">
        <f t="shared" si="69"/>
        <v>16.300000000000026</v>
      </c>
      <c r="AH310" s="4">
        <f t="shared" si="69"/>
        <v>16.000000000000025</v>
      </c>
      <c r="AI310" s="4">
        <f t="shared" si="69"/>
        <v>15.700000000000024</v>
      </c>
      <c r="AJ310" s="4">
        <f t="shared" si="69"/>
        <v>15.400000000000023</v>
      </c>
      <c r="AK310" s="4">
        <f t="shared" si="69"/>
        <v>15.100000000000023</v>
      </c>
    </row>
    <row r="311" spans="3:37" outlineLevel="1" x14ac:dyDescent="0.25">
      <c r="C311" s="38">
        <v>28.2</v>
      </c>
      <c r="D311" s="4">
        <f t="shared" si="69"/>
        <v>27.7</v>
      </c>
      <c r="E311" s="4">
        <f t="shared" si="69"/>
        <v>27.2</v>
      </c>
      <c r="F311" s="4">
        <f t="shared" si="69"/>
        <v>26.7</v>
      </c>
      <c r="G311" s="4">
        <f t="shared" si="69"/>
        <v>26.2</v>
      </c>
      <c r="H311" s="4">
        <f t="shared" si="69"/>
        <v>25.8</v>
      </c>
      <c r="I311" s="4">
        <f t="shared" si="69"/>
        <v>25.400000000000002</v>
      </c>
      <c r="J311" s="4">
        <f t="shared" si="69"/>
        <v>25.000000000000004</v>
      </c>
      <c r="K311" s="4">
        <f t="shared" si="69"/>
        <v>24.600000000000005</v>
      </c>
      <c r="L311" s="4">
        <f t="shared" si="69"/>
        <v>24.200000000000006</v>
      </c>
      <c r="M311" s="4">
        <f t="shared" si="69"/>
        <v>23.800000000000008</v>
      </c>
      <c r="N311" s="4">
        <f t="shared" si="69"/>
        <v>23.400000000000009</v>
      </c>
      <c r="O311" s="4">
        <f t="shared" si="69"/>
        <v>23.000000000000011</v>
      </c>
      <c r="P311" s="4">
        <f t="shared" si="69"/>
        <v>22.600000000000012</v>
      </c>
      <c r="Q311" s="4">
        <f t="shared" si="69"/>
        <v>22.200000000000014</v>
      </c>
      <c r="R311" s="4">
        <f t="shared" si="69"/>
        <v>21.800000000000015</v>
      </c>
      <c r="S311" s="4">
        <f t="shared" si="69"/>
        <v>21.400000000000016</v>
      </c>
      <c r="T311" s="4">
        <f t="shared" si="69"/>
        <v>21.000000000000018</v>
      </c>
      <c r="U311" s="4">
        <f t="shared" si="69"/>
        <v>20.600000000000019</v>
      </c>
      <c r="V311" s="4">
        <f t="shared" si="69"/>
        <v>20.200000000000021</v>
      </c>
      <c r="W311" s="4">
        <f t="shared" si="69"/>
        <v>19.800000000000022</v>
      </c>
      <c r="X311" s="4">
        <f t="shared" si="69"/>
        <v>19.400000000000023</v>
      </c>
      <c r="Y311" s="4">
        <f t="shared" si="69"/>
        <v>19.000000000000025</v>
      </c>
      <c r="Z311" s="4">
        <f t="shared" si="69"/>
        <v>18.600000000000026</v>
      </c>
      <c r="AA311" s="4">
        <f t="shared" si="69"/>
        <v>18.200000000000028</v>
      </c>
      <c r="AB311" s="4">
        <f t="shared" si="69"/>
        <v>17.900000000000027</v>
      </c>
      <c r="AC311" s="4">
        <f t="shared" si="69"/>
        <v>17.600000000000026</v>
      </c>
      <c r="AD311" s="4">
        <f t="shared" si="69"/>
        <v>17.300000000000026</v>
      </c>
      <c r="AE311" s="4">
        <f t="shared" si="69"/>
        <v>17.000000000000025</v>
      </c>
      <c r="AF311" s="4">
        <f t="shared" si="69"/>
        <v>16.700000000000024</v>
      </c>
      <c r="AG311" s="4">
        <f t="shared" si="69"/>
        <v>16.400000000000023</v>
      </c>
      <c r="AH311" s="4">
        <f t="shared" si="69"/>
        <v>16.100000000000023</v>
      </c>
      <c r="AI311" s="4">
        <f t="shared" si="69"/>
        <v>15.800000000000022</v>
      </c>
      <c r="AJ311" s="4">
        <f t="shared" si="69"/>
        <v>15.500000000000021</v>
      </c>
      <c r="AK311" s="4">
        <f t="shared" si="69"/>
        <v>15.200000000000021</v>
      </c>
    </row>
    <row r="312" spans="3:37" outlineLevel="1" x14ac:dyDescent="0.25">
      <c r="C312" s="38">
        <v>28.3</v>
      </c>
      <c r="D312" s="4">
        <f t="shared" si="69"/>
        <v>27.8</v>
      </c>
      <c r="E312" s="4">
        <f t="shared" si="69"/>
        <v>27.3</v>
      </c>
      <c r="F312" s="4">
        <f t="shared" si="69"/>
        <v>26.8</v>
      </c>
      <c r="G312" s="4">
        <f t="shared" si="69"/>
        <v>26.3</v>
      </c>
      <c r="H312" s="4">
        <f t="shared" si="69"/>
        <v>25.900000000000002</v>
      </c>
      <c r="I312" s="4">
        <f t="shared" si="69"/>
        <v>25.500000000000004</v>
      </c>
      <c r="J312" s="4">
        <f t="shared" si="69"/>
        <v>25.100000000000005</v>
      </c>
      <c r="K312" s="4">
        <f t="shared" si="69"/>
        <v>24.700000000000006</v>
      </c>
      <c r="L312" s="4">
        <f t="shared" si="69"/>
        <v>24.300000000000008</v>
      </c>
      <c r="M312" s="4">
        <f t="shared" si="69"/>
        <v>23.900000000000009</v>
      </c>
      <c r="N312" s="4">
        <f t="shared" si="69"/>
        <v>23.500000000000011</v>
      </c>
      <c r="O312" s="4">
        <f t="shared" si="69"/>
        <v>23.100000000000012</v>
      </c>
      <c r="P312" s="4">
        <f t="shared" si="69"/>
        <v>22.700000000000014</v>
      </c>
      <c r="Q312" s="4">
        <f t="shared" si="69"/>
        <v>22.300000000000015</v>
      </c>
      <c r="R312" s="4">
        <f t="shared" si="69"/>
        <v>21.900000000000016</v>
      </c>
      <c r="S312" s="4">
        <f t="shared" si="69"/>
        <v>21.500000000000018</v>
      </c>
      <c r="T312" s="4">
        <f t="shared" si="69"/>
        <v>21.100000000000019</v>
      </c>
      <c r="U312" s="4">
        <f t="shared" ref="U312:AK312" si="70">(IF(T312&lt;=4.4,T312-$E$6,IF(AND(T312&gt;=4.5,T312&lt;=11.4),T312-$E$7,IF(AND(T312&gt;=11.5,T312&lt;=18.4),T312-$E$8,IF(AND(T312&gt;=18.5,T312&lt;=26.4),T312-$E$9,IF(AND(T312&gt;=26.4,T312&lt;=36),T312-$E$10,IF(T312&gt;=37,T312-$E$11)))))))</f>
        <v>20.700000000000021</v>
      </c>
      <c r="V312" s="4">
        <f t="shared" si="70"/>
        <v>20.300000000000022</v>
      </c>
      <c r="W312" s="4">
        <f t="shared" si="70"/>
        <v>19.900000000000023</v>
      </c>
      <c r="X312" s="4">
        <f t="shared" si="70"/>
        <v>19.500000000000025</v>
      </c>
      <c r="Y312" s="4">
        <f t="shared" si="70"/>
        <v>19.100000000000026</v>
      </c>
      <c r="Z312" s="4">
        <f t="shared" si="70"/>
        <v>18.700000000000028</v>
      </c>
      <c r="AA312" s="4">
        <f t="shared" si="70"/>
        <v>18.300000000000029</v>
      </c>
      <c r="AB312" s="4">
        <f t="shared" si="70"/>
        <v>18.000000000000028</v>
      </c>
      <c r="AC312" s="4">
        <f t="shared" si="70"/>
        <v>17.700000000000028</v>
      </c>
      <c r="AD312" s="4">
        <f t="shared" si="70"/>
        <v>17.400000000000027</v>
      </c>
      <c r="AE312" s="4">
        <f t="shared" si="70"/>
        <v>17.100000000000026</v>
      </c>
      <c r="AF312" s="4">
        <f t="shared" si="70"/>
        <v>16.800000000000026</v>
      </c>
      <c r="AG312" s="4">
        <f t="shared" si="70"/>
        <v>16.500000000000025</v>
      </c>
      <c r="AH312" s="4">
        <f t="shared" si="70"/>
        <v>16.200000000000024</v>
      </c>
      <c r="AI312" s="4">
        <f t="shared" si="70"/>
        <v>15.900000000000023</v>
      </c>
      <c r="AJ312" s="4">
        <f t="shared" si="70"/>
        <v>15.600000000000023</v>
      </c>
      <c r="AK312" s="4">
        <f t="shared" si="70"/>
        <v>15.300000000000022</v>
      </c>
    </row>
    <row r="313" spans="3:37" outlineLevel="1" x14ac:dyDescent="0.25">
      <c r="C313" s="38">
        <v>28.4</v>
      </c>
      <c r="D313" s="4">
        <f t="shared" ref="D313:AK320" si="71">(IF(C313&lt;=4.4,C313-$E$6,IF(AND(C313&gt;=4.5,C313&lt;=11.4),C313-$E$7,IF(AND(C313&gt;=11.5,C313&lt;=18.4),C313-$E$8,IF(AND(C313&gt;=18.5,C313&lt;=26.4),C313-$E$9,IF(AND(C313&gt;=26.4,C313&lt;=36),C313-$E$10,IF(C313&gt;=37,C313-$E$11)))))))</f>
        <v>27.9</v>
      </c>
      <c r="E313" s="4">
        <f t="shared" si="71"/>
        <v>27.4</v>
      </c>
      <c r="F313" s="4">
        <f t="shared" si="71"/>
        <v>26.9</v>
      </c>
      <c r="G313" s="4">
        <f t="shared" si="71"/>
        <v>26.4</v>
      </c>
      <c r="H313" s="4">
        <f t="shared" si="71"/>
        <v>26</v>
      </c>
      <c r="I313" s="4">
        <f t="shared" si="71"/>
        <v>25.6</v>
      </c>
      <c r="J313" s="4">
        <f t="shared" si="71"/>
        <v>25.200000000000003</v>
      </c>
      <c r="K313" s="4">
        <f t="shared" si="71"/>
        <v>24.800000000000004</v>
      </c>
      <c r="L313" s="4">
        <f t="shared" si="71"/>
        <v>24.400000000000006</v>
      </c>
      <c r="M313" s="4">
        <f t="shared" si="71"/>
        <v>24.000000000000007</v>
      </c>
      <c r="N313" s="4">
        <f t="shared" si="71"/>
        <v>23.600000000000009</v>
      </c>
      <c r="O313" s="4">
        <f t="shared" si="71"/>
        <v>23.20000000000001</v>
      </c>
      <c r="P313" s="4">
        <f t="shared" si="71"/>
        <v>22.800000000000011</v>
      </c>
      <c r="Q313" s="4">
        <f t="shared" si="71"/>
        <v>22.400000000000013</v>
      </c>
      <c r="R313" s="4">
        <f t="shared" si="71"/>
        <v>22.000000000000014</v>
      </c>
      <c r="S313" s="4">
        <f t="shared" si="71"/>
        <v>21.600000000000016</v>
      </c>
      <c r="T313" s="4">
        <f t="shared" si="71"/>
        <v>21.200000000000017</v>
      </c>
      <c r="U313" s="4">
        <f t="shared" si="71"/>
        <v>20.800000000000018</v>
      </c>
      <c r="V313" s="4">
        <f t="shared" si="71"/>
        <v>20.40000000000002</v>
      </c>
      <c r="W313" s="4">
        <f t="shared" si="71"/>
        <v>20.000000000000021</v>
      </c>
      <c r="X313" s="4">
        <f t="shared" si="71"/>
        <v>19.600000000000023</v>
      </c>
      <c r="Y313" s="4">
        <f t="shared" si="71"/>
        <v>19.200000000000024</v>
      </c>
      <c r="Z313" s="4">
        <f t="shared" si="71"/>
        <v>18.800000000000026</v>
      </c>
      <c r="AA313" s="4">
        <f t="shared" si="71"/>
        <v>18.400000000000027</v>
      </c>
      <c r="AB313" s="4">
        <f t="shared" si="71"/>
        <v>18.100000000000026</v>
      </c>
      <c r="AC313" s="4">
        <f t="shared" si="71"/>
        <v>17.800000000000026</v>
      </c>
      <c r="AD313" s="4">
        <f t="shared" si="71"/>
        <v>17.500000000000025</v>
      </c>
      <c r="AE313" s="4">
        <f t="shared" si="71"/>
        <v>17.200000000000024</v>
      </c>
      <c r="AF313" s="4">
        <f t="shared" si="71"/>
        <v>16.900000000000023</v>
      </c>
      <c r="AG313" s="4">
        <f t="shared" si="71"/>
        <v>16.600000000000023</v>
      </c>
      <c r="AH313" s="4">
        <f t="shared" si="71"/>
        <v>16.300000000000022</v>
      </c>
      <c r="AI313" s="4">
        <f t="shared" si="71"/>
        <v>16.000000000000021</v>
      </c>
      <c r="AJ313" s="4">
        <f t="shared" si="71"/>
        <v>15.700000000000021</v>
      </c>
      <c r="AK313" s="4">
        <f t="shared" si="71"/>
        <v>15.40000000000002</v>
      </c>
    </row>
    <row r="314" spans="3:37" outlineLevel="1" x14ac:dyDescent="0.25">
      <c r="C314" s="38">
        <v>28.5</v>
      </c>
      <c r="D314" s="4">
        <f t="shared" si="71"/>
        <v>28</v>
      </c>
      <c r="E314" s="4">
        <f t="shared" si="71"/>
        <v>27.5</v>
      </c>
      <c r="F314" s="4">
        <f t="shared" si="71"/>
        <v>27</v>
      </c>
      <c r="G314" s="4">
        <f t="shared" si="71"/>
        <v>26.5</v>
      </c>
      <c r="H314" s="4">
        <f t="shared" si="71"/>
        <v>26</v>
      </c>
      <c r="I314" s="4">
        <f t="shared" si="71"/>
        <v>25.6</v>
      </c>
      <c r="J314" s="4">
        <f t="shared" si="71"/>
        <v>25.200000000000003</v>
      </c>
      <c r="K314" s="4">
        <f t="shared" si="71"/>
        <v>24.800000000000004</v>
      </c>
      <c r="L314" s="4">
        <f t="shared" si="71"/>
        <v>24.400000000000006</v>
      </c>
      <c r="M314" s="4">
        <f t="shared" si="71"/>
        <v>24.000000000000007</v>
      </c>
      <c r="N314" s="4">
        <f t="shared" si="71"/>
        <v>23.600000000000009</v>
      </c>
      <c r="O314" s="4">
        <f t="shared" si="71"/>
        <v>23.20000000000001</v>
      </c>
      <c r="P314" s="4">
        <f t="shared" si="71"/>
        <v>22.800000000000011</v>
      </c>
      <c r="Q314" s="4">
        <f t="shared" si="71"/>
        <v>22.400000000000013</v>
      </c>
      <c r="R314" s="4">
        <f t="shared" si="71"/>
        <v>22.000000000000014</v>
      </c>
      <c r="S314" s="4">
        <f t="shared" si="71"/>
        <v>21.600000000000016</v>
      </c>
      <c r="T314" s="4">
        <f t="shared" si="71"/>
        <v>21.200000000000017</v>
      </c>
      <c r="U314" s="4">
        <f t="shared" si="71"/>
        <v>20.800000000000018</v>
      </c>
      <c r="V314" s="4">
        <f t="shared" si="71"/>
        <v>20.40000000000002</v>
      </c>
      <c r="W314" s="4">
        <f t="shared" si="71"/>
        <v>20.000000000000021</v>
      </c>
      <c r="X314" s="4">
        <f t="shared" si="71"/>
        <v>19.600000000000023</v>
      </c>
      <c r="Y314" s="4">
        <f t="shared" si="71"/>
        <v>19.200000000000024</v>
      </c>
      <c r="Z314" s="4">
        <f t="shared" si="71"/>
        <v>18.800000000000026</v>
      </c>
      <c r="AA314" s="4">
        <f t="shared" si="71"/>
        <v>18.400000000000027</v>
      </c>
      <c r="AB314" s="4">
        <f t="shared" si="71"/>
        <v>18.100000000000026</v>
      </c>
      <c r="AC314" s="4">
        <f t="shared" si="71"/>
        <v>17.800000000000026</v>
      </c>
      <c r="AD314" s="4">
        <f t="shared" si="71"/>
        <v>17.500000000000025</v>
      </c>
      <c r="AE314" s="4">
        <f t="shared" si="71"/>
        <v>17.200000000000024</v>
      </c>
      <c r="AF314" s="4">
        <f t="shared" si="71"/>
        <v>16.900000000000023</v>
      </c>
      <c r="AG314" s="4">
        <f t="shared" si="71"/>
        <v>16.600000000000023</v>
      </c>
      <c r="AH314" s="4">
        <f t="shared" si="71"/>
        <v>16.300000000000022</v>
      </c>
      <c r="AI314" s="4">
        <f t="shared" si="71"/>
        <v>16.000000000000021</v>
      </c>
      <c r="AJ314" s="4">
        <f t="shared" si="71"/>
        <v>15.700000000000021</v>
      </c>
      <c r="AK314" s="4">
        <f t="shared" si="71"/>
        <v>15.40000000000002</v>
      </c>
    </row>
    <row r="315" spans="3:37" outlineLevel="1" x14ac:dyDescent="0.25">
      <c r="C315" s="38">
        <v>28.6</v>
      </c>
      <c r="D315" s="4">
        <f t="shared" si="71"/>
        <v>28.1</v>
      </c>
      <c r="E315" s="4">
        <f t="shared" si="71"/>
        <v>27.6</v>
      </c>
      <c r="F315" s="4">
        <f t="shared" si="71"/>
        <v>27.1</v>
      </c>
      <c r="G315" s="4">
        <f t="shared" si="71"/>
        <v>26.6</v>
      </c>
      <c r="H315" s="4">
        <f t="shared" si="71"/>
        <v>26.1</v>
      </c>
      <c r="I315" s="4">
        <f t="shared" si="71"/>
        <v>25.700000000000003</v>
      </c>
      <c r="J315" s="4">
        <f t="shared" si="71"/>
        <v>25.300000000000004</v>
      </c>
      <c r="K315" s="4">
        <f t="shared" si="71"/>
        <v>24.900000000000006</v>
      </c>
      <c r="L315" s="4">
        <f t="shared" si="71"/>
        <v>24.500000000000007</v>
      </c>
      <c r="M315" s="4">
        <f t="shared" si="71"/>
        <v>24.100000000000009</v>
      </c>
      <c r="N315" s="4">
        <f t="shared" si="71"/>
        <v>23.70000000000001</v>
      </c>
      <c r="O315" s="4">
        <f t="shared" si="71"/>
        <v>23.300000000000011</v>
      </c>
      <c r="P315" s="4">
        <f t="shared" si="71"/>
        <v>22.900000000000013</v>
      </c>
      <c r="Q315" s="4">
        <f t="shared" si="71"/>
        <v>22.500000000000014</v>
      </c>
      <c r="R315" s="4">
        <f t="shared" si="71"/>
        <v>22.100000000000016</v>
      </c>
      <c r="S315" s="4">
        <f t="shared" si="71"/>
        <v>21.700000000000017</v>
      </c>
      <c r="T315" s="4">
        <f t="shared" si="71"/>
        <v>21.300000000000018</v>
      </c>
      <c r="U315" s="4">
        <f t="shared" si="71"/>
        <v>20.90000000000002</v>
      </c>
      <c r="V315" s="4">
        <f t="shared" si="71"/>
        <v>20.500000000000021</v>
      </c>
      <c r="W315" s="4">
        <f t="shared" si="71"/>
        <v>20.100000000000023</v>
      </c>
      <c r="X315" s="4">
        <f t="shared" si="71"/>
        <v>19.700000000000024</v>
      </c>
      <c r="Y315" s="4">
        <f t="shared" si="71"/>
        <v>19.300000000000026</v>
      </c>
      <c r="Z315" s="4">
        <f t="shared" si="71"/>
        <v>18.900000000000027</v>
      </c>
      <c r="AA315" s="4">
        <f t="shared" si="71"/>
        <v>18.500000000000028</v>
      </c>
      <c r="AB315" s="4">
        <f t="shared" si="71"/>
        <v>18.10000000000003</v>
      </c>
      <c r="AC315" s="4">
        <f t="shared" si="71"/>
        <v>17.800000000000029</v>
      </c>
      <c r="AD315" s="4">
        <f t="shared" si="71"/>
        <v>17.500000000000028</v>
      </c>
      <c r="AE315" s="4">
        <f t="shared" si="71"/>
        <v>17.200000000000028</v>
      </c>
      <c r="AF315" s="4">
        <f t="shared" si="71"/>
        <v>16.900000000000027</v>
      </c>
      <c r="AG315" s="4">
        <f t="shared" si="71"/>
        <v>16.600000000000026</v>
      </c>
      <c r="AH315" s="4">
        <f t="shared" si="71"/>
        <v>16.300000000000026</v>
      </c>
      <c r="AI315" s="4">
        <f t="shared" si="71"/>
        <v>16.000000000000025</v>
      </c>
      <c r="AJ315" s="4">
        <f t="shared" si="71"/>
        <v>15.700000000000024</v>
      </c>
      <c r="AK315" s="4">
        <f t="shared" si="71"/>
        <v>15.400000000000023</v>
      </c>
    </row>
    <row r="316" spans="3:37" outlineLevel="1" x14ac:dyDescent="0.25">
      <c r="C316" s="38">
        <v>28.7</v>
      </c>
      <c r="D316" s="4">
        <f t="shared" si="71"/>
        <v>28.2</v>
      </c>
      <c r="E316" s="4">
        <f t="shared" si="71"/>
        <v>27.7</v>
      </c>
      <c r="F316" s="4">
        <f t="shared" si="71"/>
        <v>27.2</v>
      </c>
      <c r="G316" s="4">
        <f t="shared" si="71"/>
        <v>26.7</v>
      </c>
      <c r="H316" s="4">
        <f t="shared" si="71"/>
        <v>26.2</v>
      </c>
      <c r="I316" s="4">
        <f t="shared" si="71"/>
        <v>25.8</v>
      </c>
      <c r="J316" s="4">
        <f t="shared" si="71"/>
        <v>25.400000000000002</v>
      </c>
      <c r="K316" s="4">
        <f t="shared" si="71"/>
        <v>25.000000000000004</v>
      </c>
      <c r="L316" s="4">
        <f t="shared" si="71"/>
        <v>24.600000000000005</v>
      </c>
      <c r="M316" s="4">
        <f t="shared" si="71"/>
        <v>24.200000000000006</v>
      </c>
      <c r="N316" s="4">
        <f t="shared" si="71"/>
        <v>23.800000000000008</v>
      </c>
      <c r="O316" s="4">
        <f t="shared" si="71"/>
        <v>23.400000000000009</v>
      </c>
      <c r="P316" s="4">
        <f t="shared" si="71"/>
        <v>23.000000000000011</v>
      </c>
      <c r="Q316" s="4">
        <f t="shared" si="71"/>
        <v>22.600000000000012</v>
      </c>
      <c r="R316" s="4">
        <f t="shared" si="71"/>
        <v>22.200000000000014</v>
      </c>
      <c r="S316" s="4">
        <f t="shared" si="71"/>
        <v>21.800000000000015</v>
      </c>
      <c r="T316" s="4">
        <f t="shared" si="71"/>
        <v>21.400000000000016</v>
      </c>
      <c r="U316" s="4">
        <f t="shared" si="71"/>
        <v>21.000000000000018</v>
      </c>
      <c r="V316" s="4">
        <f t="shared" si="71"/>
        <v>20.600000000000019</v>
      </c>
      <c r="W316" s="4">
        <f t="shared" si="71"/>
        <v>20.200000000000021</v>
      </c>
      <c r="X316" s="4">
        <f t="shared" si="71"/>
        <v>19.800000000000022</v>
      </c>
      <c r="Y316" s="4">
        <f t="shared" si="71"/>
        <v>19.400000000000023</v>
      </c>
      <c r="Z316" s="4">
        <f t="shared" si="71"/>
        <v>19.000000000000025</v>
      </c>
      <c r="AA316" s="4">
        <f t="shared" si="71"/>
        <v>18.600000000000026</v>
      </c>
      <c r="AB316" s="4">
        <f t="shared" si="71"/>
        <v>18.200000000000028</v>
      </c>
      <c r="AC316" s="4">
        <f t="shared" si="71"/>
        <v>17.900000000000027</v>
      </c>
      <c r="AD316" s="4">
        <f t="shared" si="71"/>
        <v>17.600000000000026</v>
      </c>
      <c r="AE316" s="4">
        <f t="shared" si="71"/>
        <v>17.300000000000026</v>
      </c>
      <c r="AF316" s="4">
        <f t="shared" si="71"/>
        <v>17.000000000000025</v>
      </c>
      <c r="AG316" s="4">
        <f t="shared" si="71"/>
        <v>16.700000000000024</v>
      </c>
      <c r="AH316" s="4">
        <f t="shared" si="71"/>
        <v>16.400000000000023</v>
      </c>
      <c r="AI316" s="4">
        <f t="shared" si="71"/>
        <v>16.100000000000023</v>
      </c>
      <c r="AJ316" s="4">
        <f t="shared" si="71"/>
        <v>15.800000000000022</v>
      </c>
      <c r="AK316" s="4">
        <f t="shared" si="71"/>
        <v>15.500000000000021</v>
      </c>
    </row>
    <row r="317" spans="3:37" outlineLevel="1" x14ac:dyDescent="0.25">
      <c r="C317" s="38">
        <v>28.8</v>
      </c>
      <c r="D317" s="4">
        <f t="shared" si="71"/>
        <v>28.3</v>
      </c>
      <c r="E317" s="4">
        <f t="shared" si="71"/>
        <v>27.8</v>
      </c>
      <c r="F317" s="4">
        <f t="shared" si="71"/>
        <v>27.3</v>
      </c>
      <c r="G317" s="4">
        <f t="shared" si="71"/>
        <v>26.8</v>
      </c>
      <c r="H317" s="4">
        <f t="shared" si="71"/>
        <v>26.3</v>
      </c>
      <c r="I317" s="4">
        <f t="shared" si="71"/>
        <v>25.900000000000002</v>
      </c>
      <c r="J317" s="4">
        <f t="shared" si="71"/>
        <v>25.500000000000004</v>
      </c>
      <c r="K317" s="4">
        <f t="shared" si="71"/>
        <v>25.100000000000005</v>
      </c>
      <c r="L317" s="4">
        <f t="shared" si="71"/>
        <v>24.700000000000006</v>
      </c>
      <c r="M317" s="4">
        <f t="shared" si="71"/>
        <v>24.300000000000008</v>
      </c>
      <c r="N317" s="4">
        <f t="shared" si="71"/>
        <v>23.900000000000009</v>
      </c>
      <c r="O317" s="4">
        <f t="shared" si="71"/>
        <v>23.500000000000011</v>
      </c>
      <c r="P317" s="4">
        <f t="shared" si="71"/>
        <v>23.100000000000012</v>
      </c>
      <c r="Q317" s="4">
        <f t="shared" si="71"/>
        <v>22.700000000000014</v>
      </c>
      <c r="R317" s="4">
        <f t="shared" si="71"/>
        <v>22.300000000000015</v>
      </c>
      <c r="S317" s="4">
        <f t="shared" si="71"/>
        <v>21.900000000000016</v>
      </c>
      <c r="T317" s="4">
        <f t="shared" si="71"/>
        <v>21.500000000000018</v>
      </c>
      <c r="U317" s="4">
        <f t="shared" si="71"/>
        <v>21.100000000000019</v>
      </c>
      <c r="V317" s="4">
        <f t="shared" si="71"/>
        <v>20.700000000000021</v>
      </c>
      <c r="W317" s="4">
        <f t="shared" si="71"/>
        <v>20.300000000000022</v>
      </c>
      <c r="X317" s="4">
        <f t="shared" si="71"/>
        <v>19.900000000000023</v>
      </c>
      <c r="Y317" s="4">
        <f t="shared" si="71"/>
        <v>19.500000000000025</v>
      </c>
      <c r="Z317" s="4">
        <f t="shared" si="71"/>
        <v>19.100000000000026</v>
      </c>
      <c r="AA317" s="4">
        <f t="shared" si="71"/>
        <v>18.700000000000028</v>
      </c>
      <c r="AB317" s="4">
        <f t="shared" si="71"/>
        <v>18.300000000000029</v>
      </c>
      <c r="AC317" s="4">
        <f t="shared" si="71"/>
        <v>18.000000000000028</v>
      </c>
      <c r="AD317" s="4">
        <f t="shared" si="71"/>
        <v>17.700000000000028</v>
      </c>
      <c r="AE317" s="4">
        <f t="shared" si="71"/>
        <v>17.400000000000027</v>
      </c>
      <c r="AF317" s="4">
        <f t="shared" si="71"/>
        <v>17.100000000000026</v>
      </c>
      <c r="AG317" s="4">
        <f t="shared" si="71"/>
        <v>16.800000000000026</v>
      </c>
      <c r="AH317" s="4">
        <f t="shared" si="71"/>
        <v>16.500000000000025</v>
      </c>
      <c r="AI317" s="4">
        <f t="shared" si="71"/>
        <v>16.200000000000024</v>
      </c>
      <c r="AJ317" s="4">
        <f t="shared" si="71"/>
        <v>15.900000000000023</v>
      </c>
      <c r="AK317" s="4">
        <f t="shared" si="71"/>
        <v>15.600000000000023</v>
      </c>
    </row>
    <row r="318" spans="3:37" outlineLevel="1" x14ac:dyDescent="0.25">
      <c r="C318" s="38">
        <v>28.9</v>
      </c>
      <c r="D318" s="4">
        <f t="shared" si="71"/>
        <v>28.4</v>
      </c>
      <c r="E318" s="4">
        <f t="shared" si="71"/>
        <v>27.9</v>
      </c>
      <c r="F318" s="4">
        <f t="shared" si="71"/>
        <v>27.4</v>
      </c>
      <c r="G318" s="4">
        <f t="shared" si="71"/>
        <v>26.9</v>
      </c>
      <c r="H318" s="4">
        <f t="shared" si="71"/>
        <v>26.4</v>
      </c>
      <c r="I318" s="4">
        <f t="shared" si="71"/>
        <v>26</v>
      </c>
      <c r="J318" s="4">
        <f t="shared" si="71"/>
        <v>25.6</v>
      </c>
      <c r="K318" s="4">
        <f t="shared" si="71"/>
        <v>25.200000000000003</v>
      </c>
      <c r="L318" s="4">
        <f t="shared" si="71"/>
        <v>24.800000000000004</v>
      </c>
      <c r="M318" s="4">
        <f t="shared" si="71"/>
        <v>24.400000000000006</v>
      </c>
      <c r="N318" s="4">
        <f t="shared" si="71"/>
        <v>24.000000000000007</v>
      </c>
      <c r="O318" s="4">
        <f t="shared" si="71"/>
        <v>23.600000000000009</v>
      </c>
      <c r="P318" s="4">
        <f t="shared" si="71"/>
        <v>23.20000000000001</v>
      </c>
      <c r="Q318" s="4">
        <f t="shared" si="71"/>
        <v>22.800000000000011</v>
      </c>
      <c r="R318" s="4">
        <f t="shared" si="71"/>
        <v>22.400000000000013</v>
      </c>
      <c r="S318" s="4">
        <f t="shared" si="71"/>
        <v>22.000000000000014</v>
      </c>
      <c r="T318" s="4">
        <f t="shared" si="71"/>
        <v>21.600000000000016</v>
      </c>
      <c r="U318" s="4">
        <f t="shared" si="71"/>
        <v>21.200000000000017</v>
      </c>
      <c r="V318" s="4">
        <f t="shared" si="71"/>
        <v>20.800000000000018</v>
      </c>
      <c r="W318" s="4">
        <f t="shared" si="71"/>
        <v>20.40000000000002</v>
      </c>
      <c r="X318" s="4">
        <f t="shared" si="71"/>
        <v>20.000000000000021</v>
      </c>
      <c r="Y318" s="4">
        <f t="shared" si="71"/>
        <v>19.600000000000023</v>
      </c>
      <c r="Z318" s="4">
        <f t="shared" si="71"/>
        <v>19.200000000000024</v>
      </c>
      <c r="AA318" s="4">
        <f t="shared" si="71"/>
        <v>18.800000000000026</v>
      </c>
      <c r="AB318" s="4">
        <f t="shared" si="71"/>
        <v>18.400000000000027</v>
      </c>
      <c r="AC318" s="4">
        <f t="shared" si="71"/>
        <v>18.100000000000026</v>
      </c>
      <c r="AD318" s="4">
        <f t="shared" si="71"/>
        <v>17.800000000000026</v>
      </c>
      <c r="AE318" s="4">
        <f t="shared" si="71"/>
        <v>17.500000000000025</v>
      </c>
      <c r="AF318" s="4">
        <f t="shared" si="71"/>
        <v>17.200000000000024</v>
      </c>
      <c r="AG318" s="4">
        <f t="shared" si="71"/>
        <v>16.900000000000023</v>
      </c>
      <c r="AH318" s="4">
        <f t="shared" si="71"/>
        <v>16.600000000000023</v>
      </c>
      <c r="AI318" s="4">
        <f t="shared" si="71"/>
        <v>16.300000000000022</v>
      </c>
      <c r="AJ318" s="4">
        <f t="shared" si="71"/>
        <v>16.000000000000021</v>
      </c>
      <c r="AK318" s="4">
        <f t="shared" si="71"/>
        <v>15.700000000000021</v>
      </c>
    </row>
    <row r="319" spans="3:37" outlineLevel="1" x14ac:dyDescent="0.25">
      <c r="C319" s="38">
        <v>29</v>
      </c>
      <c r="D319" s="4">
        <f t="shared" si="71"/>
        <v>28.5</v>
      </c>
      <c r="E319" s="4">
        <f t="shared" si="71"/>
        <v>28</v>
      </c>
      <c r="F319" s="4">
        <f t="shared" si="71"/>
        <v>27.5</v>
      </c>
      <c r="G319" s="4">
        <f t="shared" si="71"/>
        <v>27</v>
      </c>
      <c r="H319" s="4">
        <f t="shared" si="71"/>
        <v>26.5</v>
      </c>
      <c r="I319" s="4">
        <f t="shared" si="71"/>
        <v>26</v>
      </c>
      <c r="J319" s="4">
        <f t="shared" si="71"/>
        <v>25.6</v>
      </c>
      <c r="K319" s="4">
        <f t="shared" si="71"/>
        <v>25.200000000000003</v>
      </c>
      <c r="L319" s="4">
        <f t="shared" si="71"/>
        <v>24.800000000000004</v>
      </c>
      <c r="M319" s="4">
        <f t="shared" si="71"/>
        <v>24.400000000000006</v>
      </c>
      <c r="N319" s="4">
        <f t="shared" si="71"/>
        <v>24.000000000000007</v>
      </c>
      <c r="O319" s="4">
        <f t="shared" si="71"/>
        <v>23.600000000000009</v>
      </c>
      <c r="P319" s="4">
        <f t="shared" si="71"/>
        <v>23.20000000000001</v>
      </c>
      <c r="Q319" s="4">
        <f t="shared" si="71"/>
        <v>22.800000000000011</v>
      </c>
      <c r="R319" s="4">
        <f t="shared" si="71"/>
        <v>22.400000000000013</v>
      </c>
      <c r="S319" s="4">
        <f t="shared" si="71"/>
        <v>22.000000000000014</v>
      </c>
      <c r="T319" s="4">
        <f t="shared" si="71"/>
        <v>21.600000000000016</v>
      </c>
      <c r="U319" s="4">
        <f t="shared" si="71"/>
        <v>21.200000000000017</v>
      </c>
      <c r="V319" s="4">
        <f t="shared" si="71"/>
        <v>20.800000000000018</v>
      </c>
      <c r="W319" s="4">
        <f t="shared" si="71"/>
        <v>20.40000000000002</v>
      </c>
      <c r="X319" s="4">
        <f t="shared" si="71"/>
        <v>20.000000000000021</v>
      </c>
      <c r="Y319" s="4">
        <f t="shared" si="71"/>
        <v>19.600000000000023</v>
      </c>
      <c r="Z319" s="4">
        <f t="shared" si="71"/>
        <v>19.200000000000024</v>
      </c>
      <c r="AA319" s="4">
        <f t="shared" si="71"/>
        <v>18.800000000000026</v>
      </c>
      <c r="AB319" s="4">
        <f t="shared" si="71"/>
        <v>18.400000000000027</v>
      </c>
      <c r="AC319" s="4">
        <f t="shared" si="71"/>
        <v>18.100000000000026</v>
      </c>
      <c r="AD319" s="4">
        <f t="shared" si="71"/>
        <v>17.800000000000026</v>
      </c>
      <c r="AE319" s="4">
        <f t="shared" si="71"/>
        <v>17.500000000000025</v>
      </c>
      <c r="AF319" s="4">
        <f t="shared" si="71"/>
        <v>17.200000000000024</v>
      </c>
      <c r="AG319" s="4">
        <f t="shared" si="71"/>
        <v>16.900000000000023</v>
      </c>
      <c r="AH319" s="4">
        <f t="shared" si="71"/>
        <v>16.600000000000023</v>
      </c>
      <c r="AI319" s="4">
        <f t="shared" si="71"/>
        <v>16.300000000000022</v>
      </c>
      <c r="AJ319" s="4">
        <f t="shared" si="71"/>
        <v>16.000000000000021</v>
      </c>
      <c r="AK319" s="4">
        <f t="shared" si="71"/>
        <v>15.700000000000021</v>
      </c>
    </row>
    <row r="320" spans="3:37" outlineLevel="1" x14ac:dyDescent="0.25">
      <c r="C320" s="38">
        <v>29.1</v>
      </c>
      <c r="D320" s="4">
        <f t="shared" si="71"/>
        <v>28.6</v>
      </c>
      <c r="E320" s="4">
        <f t="shared" si="71"/>
        <v>28.1</v>
      </c>
      <c r="F320" s="4">
        <f t="shared" si="71"/>
        <v>27.6</v>
      </c>
      <c r="G320" s="4">
        <f t="shared" si="71"/>
        <v>27.1</v>
      </c>
      <c r="H320" s="4">
        <f t="shared" si="71"/>
        <v>26.6</v>
      </c>
      <c r="I320" s="4">
        <f t="shared" si="71"/>
        <v>26.1</v>
      </c>
      <c r="J320" s="4">
        <f t="shared" si="71"/>
        <v>25.700000000000003</v>
      </c>
      <c r="K320" s="4">
        <f t="shared" si="71"/>
        <v>25.300000000000004</v>
      </c>
      <c r="L320" s="4">
        <f t="shared" si="71"/>
        <v>24.900000000000006</v>
      </c>
      <c r="M320" s="4">
        <f t="shared" si="71"/>
        <v>24.500000000000007</v>
      </c>
      <c r="N320" s="4">
        <f t="shared" si="71"/>
        <v>24.100000000000009</v>
      </c>
      <c r="O320" s="4">
        <f t="shared" si="71"/>
        <v>23.70000000000001</v>
      </c>
      <c r="P320" s="4">
        <f t="shared" si="71"/>
        <v>23.300000000000011</v>
      </c>
      <c r="Q320" s="4">
        <f t="shared" si="71"/>
        <v>22.900000000000013</v>
      </c>
      <c r="R320" s="4">
        <f t="shared" si="71"/>
        <v>22.500000000000014</v>
      </c>
      <c r="S320" s="4">
        <f t="shared" si="71"/>
        <v>22.100000000000016</v>
      </c>
      <c r="T320" s="4">
        <f t="shared" si="71"/>
        <v>21.700000000000017</v>
      </c>
      <c r="U320" s="4">
        <f t="shared" ref="U320:AK320" si="72">(IF(T320&lt;=4.4,T320-$E$6,IF(AND(T320&gt;=4.5,T320&lt;=11.4),T320-$E$7,IF(AND(T320&gt;=11.5,T320&lt;=18.4),T320-$E$8,IF(AND(T320&gt;=18.5,T320&lt;=26.4),T320-$E$9,IF(AND(T320&gt;=26.4,T320&lt;=36),T320-$E$10,IF(T320&gt;=37,T320-$E$11)))))))</f>
        <v>21.300000000000018</v>
      </c>
      <c r="V320" s="4">
        <f t="shared" si="72"/>
        <v>20.90000000000002</v>
      </c>
      <c r="W320" s="4">
        <f t="shared" si="72"/>
        <v>20.500000000000021</v>
      </c>
      <c r="X320" s="4">
        <f t="shared" si="72"/>
        <v>20.100000000000023</v>
      </c>
      <c r="Y320" s="4">
        <f t="shared" si="72"/>
        <v>19.700000000000024</v>
      </c>
      <c r="Z320" s="4">
        <f t="shared" si="72"/>
        <v>19.300000000000026</v>
      </c>
      <c r="AA320" s="4">
        <f t="shared" si="72"/>
        <v>18.900000000000027</v>
      </c>
      <c r="AB320" s="4">
        <f t="shared" si="72"/>
        <v>18.500000000000028</v>
      </c>
      <c r="AC320" s="4">
        <f t="shared" si="72"/>
        <v>18.10000000000003</v>
      </c>
      <c r="AD320" s="4">
        <f t="shared" si="72"/>
        <v>17.800000000000029</v>
      </c>
      <c r="AE320" s="4">
        <f t="shared" si="72"/>
        <v>17.500000000000028</v>
      </c>
      <c r="AF320" s="4">
        <f t="shared" si="72"/>
        <v>17.200000000000028</v>
      </c>
      <c r="AG320" s="4">
        <f t="shared" si="72"/>
        <v>16.900000000000027</v>
      </c>
      <c r="AH320" s="4">
        <f t="shared" si="72"/>
        <v>16.600000000000026</v>
      </c>
      <c r="AI320" s="4">
        <f t="shared" si="72"/>
        <v>16.300000000000026</v>
      </c>
      <c r="AJ320" s="4">
        <f t="shared" si="72"/>
        <v>16.000000000000025</v>
      </c>
      <c r="AK320" s="4">
        <f t="shared" si="72"/>
        <v>15.700000000000024</v>
      </c>
    </row>
    <row r="321" spans="3:37" outlineLevel="1" x14ac:dyDescent="0.25">
      <c r="C321" s="38">
        <v>29.2</v>
      </c>
      <c r="D321" s="4">
        <f t="shared" ref="D321:AK328" si="73">(IF(C321&lt;=4.4,C321-$E$6,IF(AND(C321&gt;=4.5,C321&lt;=11.4),C321-$E$7,IF(AND(C321&gt;=11.5,C321&lt;=18.4),C321-$E$8,IF(AND(C321&gt;=18.5,C321&lt;=26.4),C321-$E$9,IF(AND(C321&gt;=26.4,C321&lt;=36),C321-$E$10,IF(C321&gt;=37,C321-$E$11)))))))</f>
        <v>28.7</v>
      </c>
      <c r="E321" s="4">
        <f t="shared" si="73"/>
        <v>28.2</v>
      </c>
      <c r="F321" s="4">
        <f t="shared" si="73"/>
        <v>27.7</v>
      </c>
      <c r="G321" s="4">
        <f t="shared" si="73"/>
        <v>27.2</v>
      </c>
      <c r="H321" s="4">
        <f t="shared" si="73"/>
        <v>26.7</v>
      </c>
      <c r="I321" s="4">
        <f t="shared" si="73"/>
        <v>26.2</v>
      </c>
      <c r="J321" s="4">
        <f t="shared" si="73"/>
        <v>25.8</v>
      </c>
      <c r="K321" s="4">
        <f t="shared" si="73"/>
        <v>25.400000000000002</v>
      </c>
      <c r="L321" s="4">
        <f t="shared" si="73"/>
        <v>25.000000000000004</v>
      </c>
      <c r="M321" s="4">
        <f t="shared" si="73"/>
        <v>24.600000000000005</v>
      </c>
      <c r="N321" s="4">
        <f t="shared" si="73"/>
        <v>24.200000000000006</v>
      </c>
      <c r="O321" s="4">
        <f t="shared" si="73"/>
        <v>23.800000000000008</v>
      </c>
      <c r="P321" s="4">
        <f t="shared" si="73"/>
        <v>23.400000000000009</v>
      </c>
      <c r="Q321" s="4">
        <f t="shared" si="73"/>
        <v>23.000000000000011</v>
      </c>
      <c r="R321" s="4">
        <f t="shared" si="73"/>
        <v>22.600000000000012</v>
      </c>
      <c r="S321" s="4">
        <f t="shared" si="73"/>
        <v>22.200000000000014</v>
      </c>
      <c r="T321" s="4">
        <f t="shared" si="73"/>
        <v>21.800000000000015</v>
      </c>
      <c r="U321" s="4">
        <f t="shared" si="73"/>
        <v>21.400000000000016</v>
      </c>
      <c r="V321" s="4">
        <f t="shared" si="73"/>
        <v>21.000000000000018</v>
      </c>
      <c r="W321" s="4">
        <f t="shared" si="73"/>
        <v>20.600000000000019</v>
      </c>
      <c r="X321" s="4">
        <f t="shared" si="73"/>
        <v>20.200000000000021</v>
      </c>
      <c r="Y321" s="4">
        <f t="shared" si="73"/>
        <v>19.800000000000022</v>
      </c>
      <c r="Z321" s="4">
        <f t="shared" si="73"/>
        <v>19.400000000000023</v>
      </c>
      <c r="AA321" s="4">
        <f t="shared" si="73"/>
        <v>19.000000000000025</v>
      </c>
      <c r="AB321" s="4">
        <f t="shared" si="73"/>
        <v>18.600000000000026</v>
      </c>
      <c r="AC321" s="4">
        <f t="shared" si="73"/>
        <v>18.200000000000028</v>
      </c>
      <c r="AD321" s="4">
        <f t="shared" si="73"/>
        <v>17.900000000000027</v>
      </c>
      <c r="AE321" s="4">
        <f t="shared" si="73"/>
        <v>17.600000000000026</v>
      </c>
      <c r="AF321" s="4">
        <f t="shared" si="73"/>
        <v>17.300000000000026</v>
      </c>
      <c r="AG321" s="4">
        <f t="shared" si="73"/>
        <v>17.000000000000025</v>
      </c>
      <c r="AH321" s="4">
        <f t="shared" si="73"/>
        <v>16.700000000000024</v>
      </c>
      <c r="AI321" s="4">
        <f t="shared" si="73"/>
        <v>16.400000000000023</v>
      </c>
      <c r="AJ321" s="4">
        <f t="shared" si="73"/>
        <v>16.100000000000023</v>
      </c>
      <c r="AK321" s="4">
        <f t="shared" si="73"/>
        <v>15.800000000000022</v>
      </c>
    </row>
    <row r="322" spans="3:37" outlineLevel="1" x14ac:dyDescent="0.25">
      <c r="C322" s="38">
        <v>29.3</v>
      </c>
      <c r="D322" s="4">
        <f t="shared" si="73"/>
        <v>28.8</v>
      </c>
      <c r="E322" s="4">
        <f t="shared" si="73"/>
        <v>28.3</v>
      </c>
      <c r="F322" s="4">
        <f t="shared" si="73"/>
        <v>27.8</v>
      </c>
      <c r="G322" s="4">
        <f t="shared" si="73"/>
        <v>27.3</v>
      </c>
      <c r="H322" s="4">
        <f t="shared" si="73"/>
        <v>26.8</v>
      </c>
      <c r="I322" s="4">
        <f t="shared" si="73"/>
        <v>26.3</v>
      </c>
      <c r="J322" s="4">
        <f t="shared" si="73"/>
        <v>25.900000000000002</v>
      </c>
      <c r="K322" s="4">
        <f t="shared" si="73"/>
        <v>25.500000000000004</v>
      </c>
      <c r="L322" s="4">
        <f t="shared" si="73"/>
        <v>25.100000000000005</v>
      </c>
      <c r="M322" s="4">
        <f t="shared" si="73"/>
        <v>24.700000000000006</v>
      </c>
      <c r="N322" s="4">
        <f t="shared" si="73"/>
        <v>24.300000000000008</v>
      </c>
      <c r="O322" s="4">
        <f t="shared" si="73"/>
        <v>23.900000000000009</v>
      </c>
      <c r="P322" s="4">
        <f t="shared" si="73"/>
        <v>23.500000000000011</v>
      </c>
      <c r="Q322" s="4">
        <f t="shared" si="73"/>
        <v>23.100000000000012</v>
      </c>
      <c r="R322" s="4">
        <f t="shared" si="73"/>
        <v>22.700000000000014</v>
      </c>
      <c r="S322" s="4">
        <f t="shared" si="73"/>
        <v>22.300000000000015</v>
      </c>
      <c r="T322" s="4">
        <f t="shared" si="73"/>
        <v>21.900000000000016</v>
      </c>
      <c r="U322" s="4">
        <f t="shared" si="73"/>
        <v>21.500000000000018</v>
      </c>
      <c r="V322" s="4">
        <f t="shared" si="73"/>
        <v>21.100000000000019</v>
      </c>
      <c r="W322" s="4">
        <f t="shared" si="73"/>
        <v>20.700000000000021</v>
      </c>
      <c r="X322" s="4">
        <f t="shared" si="73"/>
        <v>20.300000000000022</v>
      </c>
      <c r="Y322" s="4">
        <f t="shared" si="73"/>
        <v>19.900000000000023</v>
      </c>
      <c r="Z322" s="4">
        <f t="shared" si="73"/>
        <v>19.500000000000025</v>
      </c>
      <c r="AA322" s="4">
        <f t="shared" si="73"/>
        <v>19.100000000000026</v>
      </c>
      <c r="AB322" s="4">
        <f t="shared" si="73"/>
        <v>18.700000000000028</v>
      </c>
      <c r="AC322" s="4">
        <f t="shared" si="73"/>
        <v>18.300000000000029</v>
      </c>
      <c r="AD322" s="4">
        <f t="shared" si="73"/>
        <v>18.000000000000028</v>
      </c>
      <c r="AE322" s="4">
        <f t="shared" si="73"/>
        <v>17.700000000000028</v>
      </c>
      <c r="AF322" s="4">
        <f t="shared" si="73"/>
        <v>17.400000000000027</v>
      </c>
      <c r="AG322" s="4">
        <f t="shared" si="73"/>
        <v>17.100000000000026</v>
      </c>
      <c r="AH322" s="4">
        <f t="shared" si="73"/>
        <v>16.800000000000026</v>
      </c>
      <c r="AI322" s="4">
        <f t="shared" si="73"/>
        <v>16.500000000000025</v>
      </c>
      <c r="AJ322" s="4">
        <f t="shared" si="73"/>
        <v>16.200000000000024</v>
      </c>
      <c r="AK322" s="4">
        <f t="shared" si="73"/>
        <v>15.900000000000023</v>
      </c>
    </row>
    <row r="323" spans="3:37" outlineLevel="1" x14ac:dyDescent="0.25">
      <c r="C323" s="38">
        <v>29.4</v>
      </c>
      <c r="D323" s="4">
        <f t="shared" si="73"/>
        <v>28.9</v>
      </c>
      <c r="E323" s="4">
        <f t="shared" si="73"/>
        <v>28.4</v>
      </c>
      <c r="F323" s="4">
        <f t="shared" si="73"/>
        <v>27.9</v>
      </c>
      <c r="G323" s="4">
        <f t="shared" si="73"/>
        <v>27.4</v>
      </c>
      <c r="H323" s="4">
        <f t="shared" si="73"/>
        <v>26.9</v>
      </c>
      <c r="I323" s="4">
        <f t="shared" si="73"/>
        <v>26.4</v>
      </c>
      <c r="J323" s="4">
        <f t="shared" si="73"/>
        <v>26</v>
      </c>
      <c r="K323" s="4">
        <f t="shared" si="73"/>
        <v>25.6</v>
      </c>
      <c r="L323" s="4">
        <f t="shared" si="73"/>
        <v>25.200000000000003</v>
      </c>
      <c r="M323" s="4">
        <f t="shared" si="73"/>
        <v>24.800000000000004</v>
      </c>
      <c r="N323" s="4">
        <f t="shared" si="73"/>
        <v>24.400000000000006</v>
      </c>
      <c r="O323" s="4">
        <f t="shared" si="73"/>
        <v>24.000000000000007</v>
      </c>
      <c r="P323" s="4">
        <f t="shared" si="73"/>
        <v>23.600000000000009</v>
      </c>
      <c r="Q323" s="4">
        <f t="shared" si="73"/>
        <v>23.20000000000001</v>
      </c>
      <c r="R323" s="4">
        <f t="shared" si="73"/>
        <v>22.800000000000011</v>
      </c>
      <c r="S323" s="4">
        <f t="shared" si="73"/>
        <v>22.400000000000013</v>
      </c>
      <c r="T323" s="4">
        <f t="shared" si="73"/>
        <v>22.000000000000014</v>
      </c>
      <c r="U323" s="4">
        <f t="shared" si="73"/>
        <v>21.600000000000016</v>
      </c>
      <c r="V323" s="4">
        <f t="shared" si="73"/>
        <v>21.200000000000017</v>
      </c>
      <c r="W323" s="4">
        <f t="shared" si="73"/>
        <v>20.800000000000018</v>
      </c>
      <c r="X323" s="4">
        <f t="shared" si="73"/>
        <v>20.40000000000002</v>
      </c>
      <c r="Y323" s="4">
        <f t="shared" si="73"/>
        <v>20.000000000000021</v>
      </c>
      <c r="Z323" s="4">
        <f t="shared" si="73"/>
        <v>19.600000000000023</v>
      </c>
      <c r="AA323" s="4">
        <f t="shared" si="73"/>
        <v>19.200000000000024</v>
      </c>
      <c r="AB323" s="4">
        <f t="shared" si="73"/>
        <v>18.800000000000026</v>
      </c>
      <c r="AC323" s="4">
        <f t="shared" si="73"/>
        <v>18.400000000000027</v>
      </c>
      <c r="AD323" s="4">
        <f t="shared" si="73"/>
        <v>18.100000000000026</v>
      </c>
      <c r="AE323" s="4">
        <f t="shared" si="73"/>
        <v>17.800000000000026</v>
      </c>
      <c r="AF323" s="4">
        <f t="shared" si="73"/>
        <v>17.500000000000025</v>
      </c>
      <c r="AG323" s="4">
        <f t="shared" si="73"/>
        <v>17.200000000000024</v>
      </c>
      <c r="AH323" s="4">
        <f t="shared" si="73"/>
        <v>16.900000000000023</v>
      </c>
      <c r="AI323" s="4">
        <f t="shared" si="73"/>
        <v>16.600000000000023</v>
      </c>
      <c r="AJ323" s="4">
        <f t="shared" si="73"/>
        <v>16.300000000000022</v>
      </c>
      <c r="AK323" s="4">
        <f t="shared" si="73"/>
        <v>16.000000000000021</v>
      </c>
    </row>
    <row r="324" spans="3:37" outlineLevel="1" x14ac:dyDescent="0.25">
      <c r="C324" s="38">
        <v>29.5</v>
      </c>
      <c r="D324" s="4">
        <f t="shared" si="73"/>
        <v>29</v>
      </c>
      <c r="E324" s="4">
        <f t="shared" si="73"/>
        <v>28.5</v>
      </c>
      <c r="F324" s="4">
        <f t="shared" si="73"/>
        <v>28</v>
      </c>
      <c r="G324" s="4">
        <f t="shared" si="73"/>
        <v>27.5</v>
      </c>
      <c r="H324" s="4">
        <f t="shared" si="73"/>
        <v>27</v>
      </c>
      <c r="I324" s="4">
        <f t="shared" si="73"/>
        <v>26.5</v>
      </c>
      <c r="J324" s="4">
        <f t="shared" si="73"/>
        <v>26</v>
      </c>
      <c r="K324" s="4">
        <f t="shared" si="73"/>
        <v>25.6</v>
      </c>
      <c r="L324" s="4">
        <f t="shared" si="73"/>
        <v>25.200000000000003</v>
      </c>
      <c r="M324" s="4">
        <f t="shared" si="73"/>
        <v>24.800000000000004</v>
      </c>
      <c r="N324" s="4">
        <f t="shared" si="73"/>
        <v>24.400000000000006</v>
      </c>
      <c r="O324" s="4">
        <f t="shared" si="73"/>
        <v>24.000000000000007</v>
      </c>
      <c r="P324" s="4">
        <f t="shared" si="73"/>
        <v>23.600000000000009</v>
      </c>
      <c r="Q324" s="4">
        <f t="shared" si="73"/>
        <v>23.20000000000001</v>
      </c>
      <c r="R324" s="4">
        <f t="shared" si="73"/>
        <v>22.800000000000011</v>
      </c>
      <c r="S324" s="4">
        <f t="shared" si="73"/>
        <v>22.400000000000013</v>
      </c>
      <c r="T324" s="4">
        <f t="shared" si="73"/>
        <v>22.000000000000014</v>
      </c>
      <c r="U324" s="4">
        <f t="shared" si="73"/>
        <v>21.600000000000016</v>
      </c>
      <c r="V324" s="4">
        <f t="shared" si="73"/>
        <v>21.200000000000017</v>
      </c>
      <c r="W324" s="4">
        <f t="shared" si="73"/>
        <v>20.800000000000018</v>
      </c>
      <c r="X324" s="4">
        <f t="shared" si="73"/>
        <v>20.40000000000002</v>
      </c>
      <c r="Y324" s="4">
        <f t="shared" si="73"/>
        <v>20.000000000000021</v>
      </c>
      <c r="Z324" s="4">
        <f t="shared" si="73"/>
        <v>19.600000000000023</v>
      </c>
      <c r="AA324" s="4">
        <f t="shared" si="73"/>
        <v>19.200000000000024</v>
      </c>
      <c r="AB324" s="4">
        <f t="shared" si="73"/>
        <v>18.800000000000026</v>
      </c>
      <c r="AC324" s="4">
        <f t="shared" si="73"/>
        <v>18.400000000000027</v>
      </c>
      <c r="AD324" s="4">
        <f t="shared" si="73"/>
        <v>18.100000000000026</v>
      </c>
      <c r="AE324" s="4">
        <f t="shared" si="73"/>
        <v>17.800000000000026</v>
      </c>
      <c r="AF324" s="4">
        <f t="shared" si="73"/>
        <v>17.500000000000025</v>
      </c>
      <c r="AG324" s="4">
        <f t="shared" si="73"/>
        <v>17.200000000000024</v>
      </c>
      <c r="AH324" s="4">
        <f t="shared" si="73"/>
        <v>16.900000000000023</v>
      </c>
      <c r="AI324" s="4">
        <f t="shared" si="73"/>
        <v>16.600000000000023</v>
      </c>
      <c r="AJ324" s="4">
        <f t="shared" si="73"/>
        <v>16.300000000000022</v>
      </c>
      <c r="AK324" s="4">
        <f t="shared" si="73"/>
        <v>16.000000000000021</v>
      </c>
    </row>
    <row r="325" spans="3:37" outlineLevel="1" x14ac:dyDescent="0.25">
      <c r="C325" s="38">
        <v>29.6</v>
      </c>
      <c r="D325" s="4">
        <f t="shared" si="73"/>
        <v>29.1</v>
      </c>
      <c r="E325" s="4">
        <f t="shared" si="73"/>
        <v>28.6</v>
      </c>
      <c r="F325" s="4">
        <f t="shared" si="73"/>
        <v>28.1</v>
      </c>
      <c r="G325" s="4">
        <f t="shared" si="73"/>
        <v>27.6</v>
      </c>
      <c r="H325" s="4">
        <f t="shared" si="73"/>
        <v>27.1</v>
      </c>
      <c r="I325" s="4">
        <f t="shared" si="73"/>
        <v>26.6</v>
      </c>
      <c r="J325" s="4">
        <f t="shared" si="73"/>
        <v>26.1</v>
      </c>
      <c r="K325" s="4">
        <f t="shared" si="73"/>
        <v>25.700000000000003</v>
      </c>
      <c r="L325" s="4">
        <f t="shared" si="73"/>
        <v>25.300000000000004</v>
      </c>
      <c r="M325" s="4">
        <f t="shared" si="73"/>
        <v>24.900000000000006</v>
      </c>
      <c r="N325" s="4">
        <f t="shared" si="73"/>
        <v>24.500000000000007</v>
      </c>
      <c r="O325" s="4">
        <f t="shared" si="73"/>
        <v>24.100000000000009</v>
      </c>
      <c r="P325" s="4">
        <f t="shared" si="73"/>
        <v>23.70000000000001</v>
      </c>
      <c r="Q325" s="4">
        <f t="shared" si="73"/>
        <v>23.300000000000011</v>
      </c>
      <c r="R325" s="4">
        <f t="shared" si="73"/>
        <v>22.900000000000013</v>
      </c>
      <c r="S325" s="4">
        <f t="shared" si="73"/>
        <v>22.500000000000014</v>
      </c>
      <c r="T325" s="4">
        <f t="shared" si="73"/>
        <v>22.100000000000016</v>
      </c>
      <c r="U325" s="4">
        <f t="shared" si="73"/>
        <v>21.700000000000017</v>
      </c>
      <c r="V325" s="4">
        <f t="shared" si="73"/>
        <v>21.300000000000018</v>
      </c>
      <c r="W325" s="4">
        <f t="shared" si="73"/>
        <v>20.90000000000002</v>
      </c>
      <c r="X325" s="4">
        <f t="shared" si="73"/>
        <v>20.500000000000021</v>
      </c>
      <c r="Y325" s="4">
        <f t="shared" si="73"/>
        <v>20.100000000000023</v>
      </c>
      <c r="Z325" s="4">
        <f t="shared" si="73"/>
        <v>19.700000000000024</v>
      </c>
      <c r="AA325" s="4">
        <f t="shared" si="73"/>
        <v>19.300000000000026</v>
      </c>
      <c r="AB325" s="4">
        <f t="shared" si="73"/>
        <v>18.900000000000027</v>
      </c>
      <c r="AC325" s="4">
        <f t="shared" si="73"/>
        <v>18.500000000000028</v>
      </c>
      <c r="AD325" s="4">
        <f t="shared" si="73"/>
        <v>18.10000000000003</v>
      </c>
      <c r="AE325" s="4">
        <f t="shared" si="73"/>
        <v>17.800000000000029</v>
      </c>
      <c r="AF325" s="4">
        <f t="shared" si="73"/>
        <v>17.500000000000028</v>
      </c>
      <c r="AG325" s="4">
        <f t="shared" si="73"/>
        <v>17.200000000000028</v>
      </c>
      <c r="AH325" s="4">
        <f t="shared" si="73"/>
        <v>16.900000000000027</v>
      </c>
      <c r="AI325" s="4">
        <f t="shared" si="73"/>
        <v>16.600000000000026</v>
      </c>
      <c r="AJ325" s="4">
        <f t="shared" si="73"/>
        <v>16.300000000000026</v>
      </c>
      <c r="AK325" s="4">
        <f t="shared" si="73"/>
        <v>16.000000000000025</v>
      </c>
    </row>
    <row r="326" spans="3:37" outlineLevel="1" x14ac:dyDescent="0.25">
      <c r="C326" s="38">
        <v>29.7</v>
      </c>
      <c r="D326" s="4">
        <f t="shared" si="73"/>
        <v>29.2</v>
      </c>
      <c r="E326" s="4">
        <f t="shared" si="73"/>
        <v>28.7</v>
      </c>
      <c r="F326" s="4">
        <f t="shared" si="73"/>
        <v>28.2</v>
      </c>
      <c r="G326" s="4">
        <f t="shared" si="73"/>
        <v>27.7</v>
      </c>
      <c r="H326" s="4">
        <f t="shared" si="73"/>
        <v>27.2</v>
      </c>
      <c r="I326" s="4">
        <f t="shared" si="73"/>
        <v>26.7</v>
      </c>
      <c r="J326" s="4">
        <f t="shared" si="73"/>
        <v>26.2</v>
      </c>
      <c r="K326" s="4">
        <f t="shared" si="73"/>
        <v>25.8</v>
      </c>
      <c r="L326" s="4">
        <f t="shared" si="73"/>
        <v>25.400000000000002</v>
      </c>
      <c r="M326" s="4">
        <f t="shared" si="73"/>
        <v>25.000000000000004</v>
      </c>
      <c r="N326" s="4">
        <f t="shared" si="73"/>
        <v>24.600000000000005</v>
      </c>
      <c r="O326" s="4">
        <f t="shared" si="73"/>
        <v>24.200000000000006</v>
      </c>
      <c r="P326" s="4">
        <f t="shared" si="73"/>
        <v>23.800000000000008</v>
      </c>
      <c r="Q326" s="4">
        <f t="shared" si="73"/>
        <v>23.400000000000009</v>
      </c>
      <c r="R326" s="4">
        <f t="shared" si="73"/>
        <v>23.000000000000011</v>
      </c>
      <c r="S326" s="4">
        <f t="shared" si="73"/>
        <v>22.600000000000012</v>
      </c>
      <c r="T326" s="4">
        <f t="shared" si="73"/>
        <v>22.200000000000014</v>
      </c>
      <c r="U326" s="4">
        <f t="shared" si="73"/>
        <v>21.800000000000015</v>
      </c>
      <c r="V326" s="4">
        <f t="shared" si="73"/>
        <v>21.400000000000016</v>
      </c>
      <c r="W326" s="4">
        <f t="shared" si="73"/>
        <v>21.000000000000018</v>
      </c>
      <c r="X326" s="4">
        <f t="shared" si="73"/>
        <v>20.600000000000019</v>
      </c>
      <c r="Y326" s="4">
        <f t="shared" si="73"/>
        <v>20.200000000000021</v>
      </c>
      <c r="Z326" s="4">
        <f t="shared" si="73"/>
        <v>19.800000000000022</v>
      </c>
      <c r="AA326" s="4">
        <f t="shared" si="73"/>
        <v>19.400000000000023</v>
      </c>
      <c r="AB326" s="4">
        <f t="shared" si="73"/>
        <v>19.000000000000025</v>
      </c>
      <c r="AC326" s="4">
        <f t="shared" si="73"/>
        <v>18.600000000000026</v>
      </c>
      <c r="AD326" s="4">
        <f t="shared" si="73"/>
        <v>18.200000000000028</v>
      </c>
      <c r="AE326" s="4">
        <f t="shared" si="73"/>
        <v>17.900000000000027</v>
      </c>
      <c r="AF326" s="4">
        <f t="shared" si="73"/>
        <v>17.600000000000026</v>
      </c>
      <c r="AG326" s="4">
        <f t="shared" si="73"/>
        <v>17.300000000000026</v>
      </c>
      <c r="AH326" s="4">
        <f t="shared" si="73"/>
        <v>17.000000000000025</v>
      </c>
      <c r="AI326" s="4">
        <f t="shared" si="73"/>
        <v>16.700000000000024</v>
      </c>
      <c r="AJ326" s="4">
        <f t="shared" si="73"/>
        <v>16.400000000000023</v>
      </c>
      <c r="AK326" s="4">
        <f t="shared" si="73"/>
        <v>16.100000000000023</v>
      </c>
    </row>
    <row r="327" spans="3:37" outlineLevel="1" x14ac:dyDescent="0.25">
      <c r="C327" s="38">
        <v>29.8</v>
      </c>
      <c r="D327" s="4">
        <f t="shared" si="73"/>
        <v>29.3</v>
      </c>
      <c r="E327" s="4">
        <f t="shared" si="73"/>
        <v>28.8</v>
      </c>
      <c r="F327" s="4">
        <f t="shared" si="73"/>
        <v>28.3</v>
      </c>
      <c r="G327" s="4">
        <f t="shared" si="73"/>
        <v>27.8</v>
      </c>
      <c r="H327" s="4">
        <f t="shared" si="73"/>
        <v>27.3</v>
      </c>
      <c r="I327" s="4">
        <f t="shared" si="73"/>
        <v>26.8</v>
      </c>
      <c r="J327" s="4">
        <f t="shared" si="73"/>
        <v>26.3</v>
      </c>
      <c r="K327" s="4">
        <f t="shared" si="73"/>
        <v>25.900000000000002</v>
      </c>
      <c r="L327" s="4">
        <f t="shared" si="73"/>
        <v>25.500000000000004</v>
      </c>
      <c r="M327" s="4">
        <f t="shared" si="73"/>
        <v>25.100000000000005</v>
      </c>
      <c r="N327" s="4">
        <f t="shared" si="73"/>
        <v>24.700000000000006</v>
      </c>
      <c r="O327" s="4">
        <f t="shared" si="73"/>
        <v>24.300000000000008</v>
      </c>
      <c r="P327" s="4">
        <f t="shared" si="73"/>
        <v>23.900000000000009</v>
      </c>
      <c r="Q327" s="4">
        <f t="shared" si="73"/>
        <v>23.500000000000011</v>
      </c>
      <c r="R327" s="4">
        <f t="shared" si="73"/>
        <v>23.100000000000012</v>
      </c>
      <c r="S327" s="4">
        <f t="shared" si="73"/>
        <v>22.700000000000014</v>
      </c>
      <c r="T327" s="4">
        <f t="shared" si="73"/>
        <v>22.300000000000015</v>
      </c>
      <c r="U327" s="4">
        <f t="shared" si="73"/>
        <v>21.900000000000016</v>
      </c>
      <c r="V327" s="4">
        <f t="shared" si="73"/>
        <v>21.500000000000018</v>
      </c>
      <c r="W327" s="4">
        <f t="shared" si="73"/>
        <v>21.100000000000019</v>
      </c>
      <c r="X327" s="4">
        <f t="shared" si="73"/>
        <v>20.700000000000021</v>
      </c>
      <c r="Y327" s="4">
        <f t="shared" si="73"/>
        <v>20.300000000000022</v>
      </c>
      <c r="Z327" s="4">
        <f t="shared" si="73"/>
        <v>19.900000000000023</v>
      </c>
      <c r="AA327" s="4">
        <f t="shared" si="73"/>
        <v>19.500000000000025</v>
      </c>
      <c r="AB327" s="4">
        <f t="shared" si="73"/>
        <v>19.100000000000026</v>
      </c>
      <c r="AC327" s="4">
        <f t="shared" si="73"/>
        <v>18.700000000000028</v>
      </c>
      <c r="AD327" s="4">
        <f t="shared" si="73"/>
        <v>18.300000000000029</v>
      </c>
      <c r="AE327" s="4">
        <f t="shared" si="73"/>
        <v>18.000000000000028</v>
      </c>
      <c r="AF327" s="4">
        <f t="shared" si="73"/>
        <v>17.700000000000028</v>
      </c>
      <c r="AG327" s="4">
        <f t="shared" si="73"/>
        <v>17.400000000000027</v>
      </c>
      <c r="AH327" s="4">
        <f t="shared" si="73"/>
        <v>17.100000000000026</v>
      </c>
      <c r="AI327" s="4">
        <f t="shared" si="73"/>
        <v>16.800000000000026</v>
      </c>
      <c r="AJ327" s="4">
        <f t="shared" si="73"/>
        <v>16.500000000000025</v>
      </c>
      <c r="AK327" s="4">
        <f t="shared" si="73"/>
        <v>16.200000000000024</v>
      </c>
    </row>
    <row r="328" spans="3:37" outlineLevel="1" x14ac:dyDescent="0.25">
      <c r="C328" s="38">
        <v>29.9</v>
      </c>
      <c r="D328" s="4">
        <f t="shared" si="73"/>
        <v>29.4</v>
      </c>
      <c r="E328" s="4">
        <f t="shared" si="73"/>
        <v>28.9</v>
      </c>
      <c r="F328" s="4">
        <f t="shared" si="73"/>
        <v>28.4</v>
      </c>
      <c r="G328" s="4">
        <f t="shared" si="73"/>
        <v>27.9</v>
      </c>
      <c r="H328" s="4">
        <f t="shared" si="73"/>
        <v>27.4</v>
      </c>
      <c r="I328" s="4">
        <f t="shared" si="73"/>
        <v>26.9</v>
      </c>
      <c r="J328" s="4">
        <f t="shared" si="73"/>
        <v>26.4</v>
      </c>
      <c r="K328" s="4">
        <f t="shared" si="73"/>
        <v>26</v>
      </c>
      <c r="L328" s="4">
        <f t="shared" si="73"/>
        <v>25.6</v>
      </c>
      <c r="M328" s="4">
        <f t="shared" si="73"/>
        <v>25.200000000000003</v>
      </c>
      <c r="N328" s="4">
        <f t="shared" si="73"/>
        <v>24.800000000000004</v>
      </c>
      <c r="O328" s="4">
        <f t="shared" si="73"/>
        <v>24.400000000000006</v>
      </c>
      <c r="P328" s="4">
        <f t="shared" si="73"/>
        <v>24.000000000000007</v>
      </c>
      <c r="Q328" s="4">
        <f t="shared" si="73"/>
        <v>23.600000000000009</v>
      </c>
      <c r="R328" s="4">
        <f t="shared" si="73"/>
        <v>23.20000000000001</v>
      </c>
      <c r="S328" s="4">
        <f t="shared" si="73"/>
        <v>22.800000000000011</v>
      </c>
      <c r="T328" s="4">
        <f t="shared" si="73"/>
        <v>22.400000000000013</v>
      </c>
      <c r="U328" s="4">
        <f t="shared" ref="U328:AK328" si="74">(IF(T328&lt;=4.4,T328-$E$6,IF(AND(T328&gt;=4.5,T328&lt;=11.4),T328-$E$7,IF(AND(T328&gt;=11.5,T328&lt;=18.4),T328-$E$8,IF(AND(T328&gt;=18.5,T328&lt;=26.4),T328-$E$9,IF(AND(T328&gt;=26.4,T328&lt;=36),T328-$E$10,IF(T328&gt;=37,T328-$E$11)))))))</f>
        <v>22.000000000000014</v>
      </c>
      <c r="V328" s="4">
        <f t="shared" si="74"/>
        <v>21.600000000000016</v>
      </c>
      <c r="W328" s="4">
        <f t="shared" si="74"/>
        <v>21.200000000000017</v>
      </c>
      <c r="X328" s="4">
        <f t="shared" si="74"/>
        <v>20.800000000000018</v>
      </c>
      <c r="Y328" s="4">
        <f t="shared" si="74"/>
        <v>20.40000000000002</v>
      </c>
      <c r="Z328" s="4">
        <f t="shared" si="74"/>
        <v>20.000000000000021</v>
      </c>
      <c r="AA328" s="4">
        <f t="shared" si="74"/>
        <v>19.600000000000023</v>
      </c>
      <c r="AB328" s="4">
        <f t="shared" si="74"/>
        <v>19.200000000000024</v>
      </c>
      <c r="AC328" s="4">
        <f t="shared" si="74"/>
        <v>18.800000000000026</v>
      </c>
      <c r="AD328" s="4">
        <f t="shared" si="74"/>
        <v>18.400000000000027</v>
      </c>
      <c r="AE328" s="4">
        <f t="shared" si="74"/>
        <v>18.100000000000026</v>
      </c>
      <c r="AF328" s="4">
        <f t="shared" si="74"/>
        <v>17.800000000000026</v>
      </c>
      <c r="AG328" s="4">
        <f t="shared" si="74"/>
        <v>17.500000000000025</v>
      </c>
      <c r="AH328" s="4">
        <f t="shared" si="74"/>
        <v>17.200000000000024</v>
      </c>
      <c r="AI328" s="4">
        <f t="shared" si="74"/>
        <v>16.900000000000023</v>
      </c>
      <c r="AJ328" s="4">
        <f t="shared" si="74"/>
        <v>16.600000000000023</v>
      </c>
      <c r="AK328" s="4">
        <f t="shared" si="74"/>
        <v>16.300000000000022</v>
      </c>
    </row>
    <row r="329" spans="3:37" outlineLevel="1" x14ac:dyDescent="0.25">
      <c r="C329" s="38">
        <v>30</v>
      </c>
      <c r="D329" s="4">
        <f t="shared" ref="D329:AK336" si="75">(IF(C329&lt;=4.4,C329-$E$6,IF(AND(C329&gt;=4.5,C329&lt;=11.4),C329-$E$7,IF(AND(C329&gt;=11.5,C329&lt;=18.4),C329-$E$8,IF(AND(C329&gt;=18.5,C329&lt;=26.4),C329-$E$9,IF(AND(C329&gt;=26.4,C329&lt;=36),C329-$E$10,IF(C329&gt;=37,C329-$E$11)))))))</f>
        <v>29.5</v>
      </c>
      <c r="E329" s="4">
        <f t="shared" si="75"/>
        <v>29</v>
      </c>
      <c r="F329" s="4">
        <f t="shared" si="75"/>
        <v>28.5</v>
      </c>
      <c r="G329" s="4">
        <f t="shared" si="75"/>
        <v>28</v>
      </c>
      <c r="H329" s="4">
        <f t="shared" si="75"/>
        <v>27.5</v>
      </c>
      <c r="I329" s="4">
        <f t="shared" si="75"/>
        <v>27</v>
      </c>
      <c r="J329" s="4">
        <f t="shared" si="75"/>
        <v>26.5</v>
      </c>
      <c r="K329" s="4">
        <f t="shared" si="75"/>
        <v>26</v>
      </c>
      <c r="L329" s="4">
        <f t="shared" si="75"/>
        <v>25.6</v>
      </c>
      <c r="M329" s="4">
        <f t="shared" si="75"/>
        <v>25.200000000000003</v>
      </c>
      <c r="N329" s="4">
        <f t="shared" si="75"/>
        <v>24.800000000000004</v>
      </c>
      <c r="O329" s="4">
        <f t="shared" si="75"/>
        <v>24.400000000000006</v>
      </c>
      <c r="P329" s="4">
        <f t="shared" si="75"/>
        <v>24.000000000000007</v>
      </c>
      <c r="Q329" s="4">
        <f t="shared" si="75"/>
        <v>23.600000000000009</v>
      </c>
      <c r="R329" s="4">
        <f t="shared" si="75"/>
        <v>23.20000000000001</v>
      </c>
      <c r="S329" s="4">
        <f t="shared" si="75"/>
        <v>22.800000000000011</v>
      </c>
      <c r="T329" s="4">
        <f t="shared" si="75"/>
        <v>22.400000000000013</v>
      </c>
      <c r="U329" s="4">
        <f t="shared" si="75"/>
        <v>22.000000000000014</v>
      </c>
      <c r="V329" s="4">
        <f t="shared" si="75"/>
        <v>21.600000000000016</v>
      </c>
      <c r="W329" s="4">
        <f t="shared" si="75"/>
        <v>21.200000000000017</v>
      </c>
      <c r="X329" s="4">
        <f t="shared" si="75"/>
        <v>20.800000000000018</v>
      </c>
      <c r="Y329" s="4">
        <f t="shared" si="75"/>
        <v>20.40000000000002</v>
      </c>
      <c r="Z329" s="4">
        <f t="shared" si="75"/>
        <v>20.000000000000021</v>
      </c>
      <c r="AA329" s="4">
        <f t="shared" si="75"/>
        <v>19.600000000000023</v>
      </c>
      <c r="AB329" s="4">
        <f t="shared" si="75"/>
        <v>19.200000000000024</v>
      </c>
      <c r="AC329" s="4">
        <f t="shared" si="75"/>
        <v>18.800000000000026</v>
      </c>
      <c r="AD329" s="4">
        <f t="shared" si="75"/>
        <v>18.400000000000027</v>
      </c>
      <c r="AE329" s="4">
        <f t="shared" si="75"/>
        <v>18.100000000000026</v>
      </c>
      <c r="AF329" s="4">
        <f t="shared" si="75"/>
        <v>17.800000000000026</v>
      </c>
      <c r="AG329" s="4">
        <f t="shared" si="75"/>
        <v>17.500000000000025</v>
      </c>
      <c r="AH329" s="4">
        <f t="shared" si="75"/>
        <v>17.200000000000024</v>
      </c>
      <c r="AI329" s="4">
        <f t="shared" si="75"/>
        <v>16.900000000000023</v>
      </c>
      <c r="AJ329" s="4">
        <f t="shared" si="75"/>
        <v>16.600000000000023</v>
      </c>
      <c r="AK329" s="4">
        <f t="shared" si="75"/>
        <v>16.300000000000022</v>
      </c>
    </row>
    <row r="330" spans="3:37" outlineLevel="1" x14ac:dyDescent="0.25">
      <c r="C330" s="38">
        <v>30.1</v>
      </c>
      <c r="D330" s="4">
        <f t="shared" si="75"/>
        <v>29.6</v>
      </c>
      <c r="E330" s="4">
        <f t="shared" si="75"/>
        <v>29.1</v>
      </c>
      <c r="F330" s="4">
        <f t="shared" si="75"/>
        <v>28.6</v>
      </c>
      <c r="G330" s="4">
        <f t="shared" si="75"/>
        <v>28.1</v>
      </c>
      <c r="H330" s="4">
        <f t="shared" si="75"/>
        <v>27.6</v>
      </c>
      <c r="I330" s="4">
        <f t="shared" si="75"/>
        <v>27.1</v>
      </c>
      <c r="J330" s="4">
        <f t="shared" si="75"/>
        <v>26.6</v>
      </c>
      <c r="K330" s="4">
        <f t="shared" si="75"/>
        <v>26.1</v>
      </c>
      <c r="L330" s="4">
        <f t="shared" si="75"/>
        <v>25.700000000000003</v>
      </c>
      <c r="M330" s="4">
        <f t="shared" si="75"/>
        <v>25.300000000000004</v>
      </c>
      <c r="N330" s="4">
        <f t="shared" si="75"/>
        <v>24.900000000000006</v>
      </c>
      <c r="O330" s="4">
        <f t="shared" si="75"/>
        <v>24.500000000000007</v>
      </c>
      <c r="P330" s="4">
        <f t="shared" si="75"/>
        <v>24.100000000000009</v>
      </c>
      <c r="Q330" s="4">
        <f t="shared" si="75"/>
        <v>23.70000000000001</v>
      </c>
      <c r="R330" s="4">
        <f t="shared" si="75"/>
        <v>23.300000000000011</v>
      </c>
      <c r="S330" s="4">
        <f t="shared" si="75"/>
        <v>22.900000000000013</v>
      </c>
      <c r="T330" s="4">
        <f t="shared" si="75"/>
        <v>22.500000000000014</v>
      </c>
      <c r="U330" s="4">
        <f t="shared" si="75"/>
        <v>22.100000000000016</v>
      </c>
      <c r="V330" s="4">
        <f t="shared" si="75"/>
        <v>21.700000000000017</v>
      </c>
      <c r="W330" s="4">
        <f t="shared" si="75"/>
        <v>21.300000000000018</v>
      </c>
      <c r="X330" s="4">
        <f t="shared" si="75"/>
        <v>20.90000000000002</v>
      </c>
      <c r="Y330" s="4">
        <f t="shared" si="75"/>
        <v>20.500000000000021</v>
      </c>
      <c r="Z330" s="4">
        <f t="shared" si="75"/>
        <v>20.100000000000023</v>
      </c>
      <c r="AA330" s="4">
        <f t="shared" si="75"/>
        <v>19.700000000000024</v>
      </c>
      <c r="AB330" s="4">
        <f t="shared" si="75"/>
        <v>19.300000000000026</v>
      </c>
      <c r="AC330" s="4">
        <f t="shared" si="75"/>
        <v>18.900000000000027</v>
      </c>
      <c r="AD330" s="4">
        <f t="shared" si="75"/>
        <v>18.500000000000028</v>
      </c>
      <c r="AE330" s="4">
        <f t="shared" si="75"/>
        <v>18.10000000000003</v>
      </c>
      <c r="AF330" s="4">
        <f t="shared" si="75"/>
        <v>17.800000000000029</v>
      </c>
      <c r="AG330" s="4">
        <f t="shared" si="75"/>
        <v>17.500000000000028</v>
      </c>
      <c r="AH330" s="4">
        <f t="shared" si="75"/>
        <v>17.200000000000028</v>
      </c>
      <c r="AI330" s="4">
        <f t="shared" si="75"/>
        <v>16.900000000000027</v>
      </c>
      <c r="AJ330" s="4">
        <f t="shared" si="75"/>
        <v>16.600000000000026</v>
      </c>
      <c r="AK330" s="4">
        <f t="shared" si="75"/>
        <v>16.300000000000026</v>
      </c>
    </row>
    <row r="331" spans="3:37" outlineLevel="1" x14ac:dyDescent="0.25">
      <c r="C331" s="38">
        <v>30.2</v>
      </c>
      <c r="D331" s="4">
        <f t="shared" si="75"/>
        <v>29.7</v>
      </c>
      <c r="E331" s="4">
        <f t="shared" si="75"/>
        <v>29.2</v>
      </c>
      <c r="F331" s="4">
        <f t="shared" si="75"/>
        <v>28.7</v>
      </c>
      <c r="G331" s="4">
        <f t="shared" si="75"/>
        <v>28.2</v>
      </c>
      <c r="H331" s="4">
        <f t="shared" si="75"/>
        <v>27.7</v>
      </c>
      <c r="I331" s="4">
        <f t="shared" si="75"/>
        <v>27.2</v>
      </c>
      <c r="J331" s="4">
        <f t="shared" si="75"/>
        <v>26.7</v>
      </c>
      <c r="K331" s="4">
        <f t="shared" si="75"/>
        <v>26.2</v>
      </c>
      <c r="L331" s="4">
        <f t="shared" si="75"/>
        <v>25.8</v>
      </c>
      <c r="M331" s="4">
        <f t="shared" si="75"/>
        <v>25.400000000000002</v>
      </c>
      <c r="N331" s="4">
        <f t="shared" si="75"/>
        <v>25.000000000000004</v>
      </c>
      <c r="O331" s="4">
        <f t="shared" si="75"/>
        <v>24.600000000000005</v>
      </c>
      <c r="P331" s="4">
        <f t="shared" si="75"/>
        <v>24.200000000000006</v>
      </c>
      <c r="Q331" s="4">
        <f t="shared" si="75"/>
        <v>23.800000000000008</v>
      </c>
      <c r="R331" s="4">
        <f t="shared" si="75"/>
        <v>23.400000000000009</v>
      </c>
      <c r="S331" s="4">
        <f t="shared" si="75"/>
        <v>23.000000000000011</v>
      </c>
      <c r="T331" s="4">
        <f t="shared" si="75"/>
        <v>22.600000000000012</v>
      </c>
      <c r="U331" s="4">
        <f t="shared" si="75"/>
        <v>22.200000000000014</v>
      </c>
      <c r="V331" s="4">
        <f t="shared" si="75"/>
        <v>21.800000000000015</v>
      </c>
      <c r="W331" s="4">
        <f t="shared" si="75"/>
        <v>21.400000000000016</v>
      </c>
      <c r="X331" s="4">
        <f t="shared" si="75"/>
        <v>21.000000000000018</v>
      </c>
      <c r="Y331" s="4">
        <f t="shared" si="75"/>
        <v>20.600000000000019</v>
      </c>
      <c r="Z331" s="4">
        <f t="shared" si="75"/>
        <v>20.200000000000021</v>
      </c>
      <c r="AA331" s="4">
        <f t="shared" si="75"/>
        <v>19.800000000000022</v>
      </c>
      <c r="AB331" s="4">
        <f t="shared" si="75"/>
        <v>19.400000000000023</v>
      </c>
      <c r="AC331" s="4">
        <f t="shared" si="75"/>
        <v>19.000000000000025</v>
      </c>
      <c r="AD331" s="4">
        <f t="shared" si="75"/>
        <v>18.600000000000026</v>
      </c>
      <c r="AE331" s="4">
        <f t="shared" si="75"/>
        <v>18.200000000000028</v>
      </c>
      <c r="AF331" s="4">
        <f t="shared" si="75"/>
        <v>17.900000000000027</v>
      </c>
      <c r="AG331" s="4">
        <f t="shared" si="75"/>
        <v>17.600000000000026</v>
      </c>
      <c r="AH331" s="4">
        <f t="shared" si="75"/>
        <v>17.300000000000026</v>
      </c>
      <c r="AI331" s="4">
        <f t="shared" si="75"/>
        <v>17.000000000000025</v>
      </c>
      <c r="AJ331" s="4">
        <f t="shared" si="75"/>
        <v>16.700000000000024</v>
      </c>
      <c r="AK331" s="4">
        <f t="shared" si="75"/>
        <v>16.400000000000023</v>
      </c>
    </row>
    <row r="332" spans="3:37" outlineLevel="1" x14ac:dyDescent="0.25">
      <c r="C332" s="38">
        <v>30.3</v>
      </c>
      <c r="D332" s="4">
        <f t="shared" si="75"/>
        <v>29.8</v>
      </c>
      <c r="E332" s="4">
        <f t="shared" si="75"/>
        <v>29.3</v>
      </c>
      <c r="F332" s="4">
        <f t="shared" si="75"/>
        <v>28.8</v>
      </c>
      <c r="G332" s="4">
        <f t="shared" si="75"/>
        <v>28.3</v>
      </c>
      <c r="H332" s="4">
        <f t="shared" si="75"/>
        <v>27.8</v>
      </c>
      <c r="I332" s="4">
        <f t="shared" si="75"/>
        <v>27.3</v>
      </c>
      <c r="J332" s="4">
        <f t="shared" si="75"/>
        <v>26.8</v>
      </c>
      <c r="K332" s="4">
        <f t="shared" si="75"/>
        <v>26.3</v>
      </c>
      <c r="L332" s="4">
        <f t="shared" si="75"/>
        <v>25.900000000000002</v>
      </c>
      <c r="M332" s="4">
        <f t="shared" si="75"/>
        <v>25.500000000000004</v>
      </c>
      <c r="N332" s="4">
        <f t="shared" si="75"/>
        <v>25.100000000000005</v>
      </c>
      <c r="O332" s="4">
        <f t="shared" si="75"/>
        <v>24.700000000000006</v>
      </c>
      <c r="P332" s="4">
        <f t="shared" si="75"/>
        <v>24.300000000000008</v>
      </c>
      <c r="Q332" s="4">
        <f t="shared" si="75"/>
        <v>23.900000000000009</v>
      </c>
      <c r="R332" s="4">
        <f t="shared" si="75"/>
        <v>23.500000000000011</v>
      </c>
      <c r="S332" s="4">
        <f t="shared" si="75"/>
        <v>23.100000000000012</v>
      </c>
      <c r="T332" s="4">
        <f t="shared" si="75"/>
        <v>22.700000000000014</v>
      </c>
      <c r="U332" s="4">
        <f t="shared" si="75"/>
        <v>22.300000000000015</v>
      </c>
      <c r="V332" s="4">
        <f t="shared" si="75"/>
        <v>21.900000000000016</v>
      </c>
      <c r="W332" s="4">
        <f t="shared" si="75"/>
        <v>21.500000000000018</v>
      </c>
      <c r="X332" s="4">
        <f t="shared" si="75"/>
        <v>21.100000000000019</v>
      </c>
      <c r="Y332" s="4">
        <f t="shared" si="75"/>
        <v>20.700000000000021</v>
      </c>
      <c r="Z332" s="4">
        <f t="shared" si="75"/>
        <v>20.300000000000022</v>
      </c>
      <c r="AA332" s="4">
        <f t="shared" si="75"/>
        <v>19.900000000000023</v>
      </c>
      <c r="AB332" s="4">
        <f t="shared" si="75"/>
        <v>19.500000000000025</v>
      </c>
      <c r="AC332" s="4">
        <f t="shared" si="75"/>
        <v>19.100000000000026</v>
      </c>
      <c r="AD332" s="4">
        <f t="shared" si="75"/>
        <v>18.700000000000028</v>
      </c>
      <c r="AE332" s="4">
        <f t="shared" si="75"/>
        <v>18.300000000000029</v>
      </c>
      <c r="AF332" s="4">
        <f t="shared" si="75"/>
        <v>18.000000000000028</v>
      </c>
      <c r="AG332" s="4">
        <f t="shared" si="75"/>
        <v>17.700000000000028</v>
      </c>
      <c r="AH332" s="4">
        <f t="shared" si="75"/>
        <v>17.400000000000027</v>
      </c>
      <c r="AI332" s="4">
        <f t="shared" si="75"/>
        <v>17.100000000000026</v>
      </c>
      <c r="AJ332" s="4">
        <f t="shared" si="75"/>
        <v>16.800000000000026</v>
      </c>
      <c r="AK332" s="4">
        <f t="shared" si="75"/>
        <v>16.500000000000025</v>
      </c>
    </row>
    <row r="333" spans="3:37" outlineLevel="1" x14ac:dyDescent="0.25">
      <c r="C333" s="38">
        <v>30.4</v>
      </c>
      <c r="D333" s="4">
        <f t="shared" si="75"/>
        <v>29.9</v>
      </c>
      <c r="E333" s="4">
        <f t="shared" si="75"/>
        <v>29.4</v>
      </c>
      <c r="F333" s="4">
        <f t="shared" si="75"/>
        <v>28.9</v>
      </c>
      <c r="G333" s="4">
        <f t="shared" si="75"/>
        <v>28.4</v>
      </c>
      <c r="H333" s="4">
        <f t="shared" si="75"/>
        <v>27.9</v>
      </c>
      <c r="I333" s="4">
        <f t="shared" si="75"/>
        <v>27.4</v>
      </c>
      <c r="J333" s="4">
        <f t="shared" si="75"/>
        <v>26.9</v>
      </c>
      <c r="K333" s="4">
        <f t="shared" si="75"/>
        <v>26.4</v>
      </c>
      <c r="L333" s="4">
        <f t="shared" si="75"/>
        <v>26</v>
      </c>
      <c r="M333" s="4">
        <f t="shared" si="75"/>
        <v>25.6</v>
      </c>
      <c r="N333" s="4">
        <f t="shared" si="75"/>
        <v>25.200000000000003</v>
      </c>
      <c r="O333" s="4">
        <f t="shared" si="75"/>
        <v>24.800000000000004</v>
      </c>
      <c r="P333" s="4">
        <f t="shared" si="75"/>
        <v>24.400000000000006</v>
      </c>
      <c r="Q333" s="4">
        <f t="shared" si="75"/>
        <v>24.000000000000007</v>
      </c>
      <c r="R333" s="4">
        <f t="shared" si="75"/>
        <v>23.600000000000009</v>
      </c>
      <c r="S333" s="4">
        <f t="shared" si="75"/>
        <v>23.20000000000001</v>
      </c>
      <c r="T333" s="4">
        <f t="shared" si="75"/>
        <v>22.800000000000011</v>
      </c>
      <c r="U333" s="4">
        <f t="shared" si="75"/>
        <v>22.400000000000013</v>
      </c>
      <c r="V333" s="4">
        <f t="shared" si="75"/>
        <v>22.000000000000014</v>
      </c>
      <c r="W333" s="4">
        <f t="shared" si="75"/>
        <v>21.600000000000016</v>
      </c>
      <c r="X333" s="4">
        <f t="shared" si="75"/>
        <v>21.200000000000017</v>
      </c>
      <c r="Y333" s="4">
        <f t="shared" si="75"/>
        <v>20.800000000000018</v>
      </c>
      <c r="Z333" s="4">
        <f t="shared" si="75"/>
        <v>20.40000000000002</v>
      </c>
      <c r="AA333" s="4">
        <f t="shared" si="75"/>
        <v>20.000000000000021</v>
      </c>
      <c r="AB333" s="4">
        <f t="shared" si="75"/>
        <v>19.600000000000023</v>
      </c>
      <c r="AC333" s="4">
        <f t="shared" si="75"/>
        <v>19.200000000000024</v>
      </c>
      <c r="AD333" s="4">
        <f t="shared" si="75"/>
        <v>18.800000000000026</v>
      </c>
      <c r="AE333" s="4">
        <f t="shared" si="75"/>
        <v>18.400000000000027</v>
      </c>
      <c r="AF333" s="4">
        <f t="shared" si="75"/>
        <v>18.100000000000026</v>
      </c>
      <c r="AG333" s="4">
        <f t="shared" si="75"/>
        <v>17.800000000000026</v>
      </c>
      <c r="AH333" s="4">
        <f t="shared" si="75"/>
        <v>17.500000000000025</v>
      </c>
      <c r="AI333" s="4">
        <f t="shared" si="75"/>
        <v>17.200000000000024</v>
      </c>
      <c r="AJ333" s="4">
        <f t="shared" si="75"/>
        <v>16.900000000000023</v>
      </c>
      <c r="AK333" s="4">
        <f t="shared" si="75"/>
        <v>16.600000000000023</v>
      </c>
    </row>
    <row r="334" spans="3:37" outlineLevel="1" x14ac:dyDescent="0.25">
      <c r="C334" s="38">
        <v>30.5</v>
      </c>
      <c r="D334" s="4">
        <f t="shared" si="75"/>
        <v>30</v>
      </c>
      <c r="E334" s="4">
        <f t="shared" si="75"/>
        <v>29.5</v>
      </c>
      <c r="F334" s="4">
        <f t="shared" si="75"/>
        <v>29</v>
      </c>
      <c r="G334" s="4">
        <f t="shared" si="75"/>
        <v>28.5</v>
      </c>
      <c r="H334" s="4">
        <f t="shared" si="75"/>
        <v>28</v>
      </c>
      <c r="I334" s="4">
        <f t="shared" si="75"/>
        <v>27.5</v>
      </c>
      <c r="J334" s="4">
        <f t="shared" si="75"/>
        <v>27</v>
      </c>
      <c r="K334" s="4">
        <f t="shared" si="75"/>
        <v>26.5</v>
      </c>
      <c r="L334" s="4">
        <f t="shared" si="75"/>
        <v>26</v>
      </c>
      <c r="M334" s="4">
        <f t="shared" si="75"/>
        <v>25.6</v>
      </c>
      <c r="N334" s="4">
        <f t="shared" si="75"/>
        <v>25.200000000000003</v>
      </c>
      <c r="O334" s="4">
        <f t="shared" si="75"/>
        <v>24.800000000000004</v>
      </c>
      <c r="P334" s="4">
        <f t="shared" si="75"/>
        <v>24.400000000000006</v>
      </c>
      <c r="Q334" s="4">
        <f t="shared" si="75"/>
        <v>24.000000000000007</v>
      </c>
      <c r="R334" s="4">
        <f t="shared" si="75"/>
        <v>23.600000000000009</v>
      </c>
      <c r="S334" s="4">
        <f t="shared" si="75"/>
        <v>23.20000000000001</v>
      </c>
      <c r="T334" s="4">
        <f t="shared" si="75"/>
        <v>22.800000000000011</v>
      </c>
      <c r="U334" s="4">
        <f t="shared" si="75"/>
        <v>22.400000000000013</v>
      </c>
      <c r="V334" s="4">
        <f t="shared" si="75"/>
        <v>22.000000000000014</v>
      </c>
      <c r="W334" s="4">
        <f t="shared" si="75"/>
        <v>21.600000000000016</v>
      </c>
      <c r="X334" s="4">
        <f t="shared" si="75"/>
        <v>21.200000000000017</v>
      </c>
      <c r="Y334" s="4">
        <f t="shared" si="75"/>
        <v>20.800000000000018</v>
      </c>
      <c r="Z334" s="4">
        <f t="shared" si="75"/>
        <v>20.40000000000002</v>
      </c>
      <c r="AA334" s="4">
        <f t="shared" si="75"/>
        <v>20.000000000000021</v>
      </c>
      <c r="AB334" s="4">
        <f t="shared" si="75"/>
        <v>19.600000000000023</v>
      </c>
      <c r="AC334" s="4">
        <f t="shared" si="75"/>
        <v>19.200000000000024</v>
      </c>
      <c r="AD334" s="4">
        <f t="shared" si="75"/>
        <v>18.800000000000026</v>
      </c>
      <c r="AE334" s="4">
        <f t="shared" si="75"/>
        <v>18.400000000000027</v>
      </c>
      <c r="AF334" s="4">
        <f t="shared" si="75"/>
        <v>18.100000000000026</v>
      </c>
      <c r="AG334" s="4">
        <f t="shared" si="75"/>
        <v>17.800000000000026</v>
      </c>
      <c r="AH334" s="4">
        <f t="shared" si="75"/>
        <v>17.500000000000025</v>
      </c>
      <c r="AI334" s="4">
        <f t="shared" si="75"/>
        <v>17.200000000000024</v>
      </c>
      <c r="AJ334" s="4">
        <f t="shared" si="75"/>
        <v>16.900000000000023</v>
      </c>
      <c r="AK334" s="4">
        <f t="shared" si="75"/>
        <v>16.600000000000023</v>
      </c>
    </row>
    <row r="335" spans="3:37" outlineLevel="1" x14ac:dyDescent="0.25">
      <c r="C335" s="38">
        <v>30.6</v>
      </c>
      <c r="D335" s="4">
        <f t="shared" si="75"/>
        <v>30.1</v>
      </c>
      <c r="E335" s="4">
        <f t="shared" si="75"/>
        <v>29.6</v>
      </c>
      <c r="F335" s="4">
        <f t="shared" si="75"/>
        <v>29.1</v>
      </c>
      <c r="G335" s="4">
        <f t="shared" si="75"/>
        <v>28.6</v>
      </c>
      <c r="H335" s="4">
        <f t="shared" si="75"/>
        <v>28.1</v>
      </c>
      <c r="I335" s="4">
        <f t="shared" si="75"/>
        <v>27.6</v>
      </c>
      <c r="J335" s="4">
        <f t="shared" si="75"/>
        <v>27.1</v>
      </c>
      <c r="K335" s="4">
        <f t="shared" si="75"/>
        <v>26.6</v>
      </c>
      <c r="L335" s="4">
        <f t="shared" si="75"/>
        <v>26.1</v>
      </c>
      <c r="M335" s="4">
        <f t="shared" si="75"/>
        <v>25.700000000000003</v>
      </c>
      <c r="N335" s="4">
        <f t="shared" si="75"/>
        <v>25.300000000000004</v>
      </c>
      <c r="O335" s="4">
        <f t="shared" si="75"/>
        <v>24.900000000000006</v>
      </c>
      <c r="P335" s="4">
        <f t="shared" si="75"/>
        <v>24.500000000000007</v>
      </c>
      <c r="Q335" s="4">
        <f t="shared" si="75"/>
        <v>24.100000000000009</v>
      </c>
      <c r="R335" s="4">
        <f t="shared" si="75"/>
        <v>23.70000000000001</v>
      </c>
      <c r="S335" s="4">
        <f t="shared" si="75"/>
        <v>23.300000000000011</v>
      </c>
      <c r="T335" s="4">
        <f t="shared" si="75"/>
        <v>22.900000000000013</v>
      </c>
      <c r="U335" s="4">
        <f t="shared" si="75"/>
        <v>22.500000000000014</v>
      </c>
      <c r="V335" s="4">
        <f t="shared" si="75"/>
        <v>22.100000000000016</v>
      </c>
      <c r="W335" s="4">
        <f t="shared" si="75"/>
        <v>21.700000000000017</v>
      </c>
      <c r="X335" s="4">
        <f t="shared" si="75"/>
        <v>21.300000000000018</v>
      </c>
      <c r="Y335" s="4">
        <f t="shared" si="75"/>
        <v>20.90000000000002</v>
      </c>
      <c r="Z335" s="4">
        <f t="shared" si="75"/>
        <v>20.500000000000021</v>
      </c>
      <c r="AA335" s="4">
        <f t="shared" si="75"/>
        <v>20.100000000000023</v>
      </c>
      <c r="AB335" s="4">
        <f t="shared" si="75"/>
        <v>19.700000000000024</v>
      </c>
      <c r="AC335" s="4">
        <f t="shared" si="75"/>
        <v>19.300000000000026</v>
      </c>
      <c r="AD335" s="4">
        <f t="shared" si="75"/>
        <v>18.900000000000027</v>
      </c>
      <c r="AE335" s="4">
        <f t="shared" si="75"/>
        <v>18.500000000000028</v>
      </c>
      <c r="AF335" s="4">
        <f t="shared" si="75"/>
        <v>18.10000000000003</v>
      </c>
      <c r="AG335" s="4">
        <f t="shared" si="75"/>
        <v>17.800000000000029</v>
      </c>
      <c r="AH335" s="4">
        <f t="shared" si="75"/>
        <v>17.500000000000028</v>
      </c>
      <c r="AI335" s="4">
        <f t="shared" si="75"/>
        <v>17.200000000000028</v>
      </c>
      <c r="AJ335" s="4">
        <f t="shared" si="75"/>
        <v>16.900000000000027</v>
      </c>
      <c r="AK335" s="4">
        <f t="shared" si="75"/>
        <v>16.600000000000026</v>
      </c>
    </row>
    <row r="336" spans="3:37" outlineLevel="1" x14ac:dyDescent="0.25">
      <c r="C336" s="38">
        <v>30.7</v>
      </c>
      <c r="D336" s="4">
        <f t="shared" si="75"/>
        <v>30.2</v>
      </c>
      <c r="E336" s="4">
        <f t="shared" si="75"/>
        <v>29.7</v>
      </c>
      <c r="F336" s="4">
        <f t="shared" si="75"/>
        <v>29.2</v>
      </c>
      <c r="G336" s="4">
        <f t="shared" si="75"/>
        <v>28.7</v>
      </c>
      <c r="H336" s="4">
        <f t="shared" si="75"/>
        <v>28.2</v>
      </c>
      <c r="I336" s="4">
        <f t="shared" si="75"/>
        <v>27.7</v>
      </c>
      <c r="J336" s="4">
        <f t="shared" si="75"/>
        <v>27.2</v>
      </c>
      <c r="K336" s="4">
        <f t="shared" si="75"/>
        <v>26.7</v>
      </c>
      <c r="L336" s="4">
        <f t="shared" si="75"/>
        <v>26.2</v>
      </c>
      <c r="M336" s="4">
        <f t="shared" si="75"/>
        <v>25.8</v>
      </c>
      <c r="N336" s="4">
        <f t="shared" si="75"/>
        <v>25.400000000000002</v>
      </c>
      <c r="O336" s="4">
        <f t="shared" si="75"/>
        <v>25.000000000000004</v>
      </c>
      <c r="P336" s="4">
        <f t="shared" si="75"/>
        <v>24.600000000000005</v>
      </c>
      <c r="Q336" s="4">
        <f t="shared" si="75"/>
        <v>24.200000000000006</v>
      </c>
      <c r="R336" s="4">
        <f t="shared" si="75"/>
        <v>23.800000000000008</v>
      </c>
      <c r="S336" s="4">
        <f t="shared" si="75"/>
        <v>23.400000000000009</v>
      </c>
      <c r="T336" s="4">
        <f t="shared" si="75"/>
        <v>23.000000000000011</v>
      </c>
      <c r="U336" s="4">
        <f t="shared" ref="U336:AK336" si="76">(IF(T336&lt;=4.4,T336-$E$6,IF(AND(T336&gt;=4.5,T336&lt;=11.4),T336-$E$7,IF(AND(T336&gt;=11.5,T336&lt;=18.4),T336-$E$8,IF(AND(T336&gt;=18.5,T336&lt;=26.4),T336-$E$9,IF(AND(T336&gt;=26.4,T336&lt;=36),T336-$E$10,IF(T336&gt;=37,T336-$E$11)))))))</f>
        <v>22.600000000000012</v>
      </c>
      <c r="V336" s="4">
        <f t="shared" si="76"/>
        <v>22.200000000000014</v>
      </c>
      <c r="W336" s="4">
        <f t="shared" si="76"/>
        <v>21.800000000000015</v>
      </c>
      <c r="X336" s="4">
        <f t="shared" si="76"/>
        <v>21.400000000000016</v>
      </c>
      <c r="Y336" s="4">
        <f t="shared" si="76"/>
        <v>21.000000000000018</v>
      </c>
      <c r="Z336" s="4">
        <f t="shared" si="76"/>
        <v>20.600000000000019</v>
      </c>
      <c r="AA336" s="4">
        <f t="shared" si="76"/>
        <v>20.200000000000021</v>
      </c>
      <c r="AB336" s="4">
        <f t="shared" si="76"/>
        <v>19.800000000000022</v>
      </c>
      <c r="AC336" s="4">
        <f t="shared" si="76"/>
        <v>19.400000000000023</v>
      </c>
      <c r="AD336" s="4">
        <f t="shared" si="76"/>
        <v>19.000000000000025</v>
      </c>
      <c r="AE336" s="4">
        <f t="shared" si="76"/>
        <v>18.600000000000026</v>
      </c>
      <c r="AF336" s="4">
        <f t="shared" si="76"/>
        <v>18.200000000000028</v>
      </c>
      <c r="AG336" s="4">
        <f t="shared" si="76"/>
        <v>17.900000000000027</v>
      </c>
      <c r="AH336" s="4">
        <f t="shared" si="76"/>
        <v>17.600000000000026</v>
      </c>
      <c r="AI336" s="4">
        <f t="shared" si="76"/>
        <v>17.300000000000026</v>
      </c>
      <c r="AJ336" s="4">
        <f t="shared" si="76"/>
        <v>17.000000000000025</v>
      </c>
      <c r="AK336" s="4">
        <f t="shared" si="76"/>
        <v>16.700000000000024</v>
      </c>
    </row>
    <row r="337" spans="3:37" outlineLevel="1" x14ac:dyDescent="0.25">
      <c r="C337" s="38">
        <v>30.8</v>
      </c>
      <c r="D337" s="4">
        <f t="shared" ref="D337:AK344" si="77">(IF(C337&lt;=4.4,C337-$E$6,IF(AND(C337&gt;=4.5,C337&lt;=11.4),C337-$E$7,IF(AND(C337&gt;=11.5,C337&lt;=18.4),C337-$E$8,IF(AND(C337&gt;=18.5,C337&lt;=26.4),C337-$E$9,IF(AND(C337&gt;=26.4,C337&lt;=36),C337-$E$10,IF(C337&gt;=37,C337-$E$11)))))))</f>
        <v>30.3</v>
      </c>
      <c r="E337" s="4">
        <f t="shared" si="77"/>
        <v>29.8</v>
      </c>
      <c r="F337" s="4">
        <f t="shared" si="77"/>
        <v>29.3</v>
      </c>
      <c r="G337" s="4">
        <f t="shared" si="77"/>
        <v>28.8</v>
      </c>
      <c r="H337" s="4">
        <f t="shared" si="77"/>
        <v>28.3</v>
      </c>
      <c r="I337" s="4">
        <f t="shared" si="77"/>
        <v>27.8</v>
      </c>
      <c r="J337" s="4">
        <f t="shared" si="77"/>
        <v>27.3</v>
      </c>
      <c r="K337" s="4">
        <f t="shared" si="77"/>
        <v>26.8</v>
      </c>
      <c r="L337" s="4">
        <f t="shared" si="77"/>
        <v>26.3</v>
      </c>
      <c r="M337" s="4">
        <f t="shared" si="77"/>
        <v>25.900000000000002</v>
      </c>
      <c r="N337" s="4">
        <f t="shared" si="77"/>
        <v>25.500000000000004</v>
      </c>
      <c r="O337" s="4">
        <f t="shared" si="77"/>
        <v>25.100000000000005</v>
      </c>
      <c r="P337" s="4">
        <f t="shared" si="77"/>
        <v>24.700000000000006</v>
      </c>
      <c r="Q337" s="4">
        <f t="shared" si="77"/>
        <v>24.300000000000008</v>
      </c>
      <c r="R337" s="4">
        <f t="shared" si="77"/>
        <v>23.900000000000009</v>
      </c>
      <c r="S337" s="4">
        <f t="shared" si="77"/>
        <v>23.500000000000011</v>
      </c>
      <c r="T337" s="4">
        <f t="shared" si="77"/>
        <v>23.100000000000012</v>
      </c>
      <c r="U337" s="4">
        <f t="shared" si="77"/>
        <v>22.700000000000014</v>
      </c>
      <c r="V337" s="4">
        <f t="shared" si="77"/>
        <v>22.300000000000015</v>
      </c>
      <c r="W337" s="4">
        <f t="shared" si="77"/>
        <v>21.900000000000016</v>
      </c>
      <c r="X337" s="4">
        <f t="shared" si="77"/>
        <v>21.500000000000018</v>
      </c>
      <c r="Y337" s="4">
        <f t="shared" si="77"/>
        <v>21.100000000000019</v>
      </c>
      <c r="Z337" s="4">
        <f t="shared" si="77"/>
        <v>20.700000000000021</v>
      </c>
      <c r="AA337" s="4">
        <f t="shared" si="77"/>
        <v>20.300000000000022</v>
      </c>
      <c r="AB337" s="4">
        <f t="shared" si="77"/>
        <v>19.900000000000023</v>
      </c>
      <c r="AC337" s="4">
        <f t="shared" si="77"/>
        <v>19.500000000000025</v>
      </c>
      <c r="AD337" s="4">
        <f t="shared" si="77"/>
        <v>19.100000000000026</v>
      </c>
      <c r="AE337" s="4">
        <f t="shared" si="77"/>
        <v>18.700000000000028</v>
      </c>
      <c r="AF337" s="4">
        <f t="shared" si="77"/>
        <v>18.300000000000029</v>
      </c>
      <c r="AG337" s="4">
        <f t="shared" si="77"/>
        <v>18.000000000000028</v>
      </c>
      <c r="AH337" s="4">
        <f t="shared" si="77"/>
        <v>17.700000000000028</v>
      </c>
      <c r="AI337" s="4">
        <f t="shared" si="77"/>
        <v>17.400000000000027</v>
      </c>
      <c r="AJ337" s="4">
        <f t="shared" si="77"/>
        <v>17.100000000000026</v>
      </c>
      <c r="AK337" s="4">
        <f t="shared" si="77"/>
        <v>16.800000000000026</v>
      </c>
    </row>
    <row r="338" spans="3:37" outlineLevel="1" x14ac:dyDescent="0.25">
      <c r="C338" s="38">
        <v>30.9</v>
      </c>
      <c r="D338" s="4">
        <f t="shared" si="77"/>
        <v>30.4</v>
      </c>
      <c r="E338" s="4">
        <f t="shared" si="77"/>
        <v>29.9</v>
      </c>
      <c r="F338" s="4">
        <f t="shared" si="77"/>
        <v>29.4</v>
      </c>
      <c r="G338" s="4">
        <f t="shared" si="77"/>
        <v>28.9</v>
      </c>
      <c r="H338" s="4">
        <f t="shared" si="77"/>
        <v>28.4</v>
      </c>
      <c r="I338" s="4">
        <f t="shared" si="77"/>
        <v>27.9</v>
      </c>
      <c r="J338" s="4">
        <f t="shared" si="77"/>
        <v>27.4</v>
      </c>
      <c r="K338" s="4">
        <f t="shared" si="77"/>
        <v>26.9</v>
      </c>
      <c r="L338" s="4">
        <f t="shared" si="77"/>
        <v>26.4</v>
      </c>
      <c r="M338" s="4">
        <f t="shared" si="77"/>
        <v>26</v>
      </c>
      <c r="N338" s="4">
        <f t="shared" si="77"/>
        <v>25.6</v>
      </c>
      <c r="O338" s="4">
        <f t="shared" si="77"/>
        <v>25.200000000000003</v>
      </c>
      <c r="P338" s="4">
        <f t="shared" si="77"/>
        <v>24.800000000000004</v>
      </c>
      <c r="Q338" s="4">
        <f t="shared" si="77"/>
        <v>24.400000000000006</v>
      </c>
      <c r="R338" s="4">
        <f t="shared" si="77"/>
        <v>24.000000000000007</v>
      </c>
      <c r="S338" s="4">
        <f t="shared" si="77"/>
        <v>23.600000000000009</v>
      </c>
      <c r="T338" s="4">
        <f t="shared" si="77"/>
        <v>23.20000000000001</v>
      </c>
      <c r="U338" s="4">
        <f t="shared" si="77"/>
        <v>22.800000000000011</v>
      </c>
      <c r="V338" s="4">
        <f t="shared" si="77"/>
        <v>22.400000000000013</v>
      </c>
      <c r="W338" s="4">
        <f t="shared" si="77"/>
        <v>22.000000000000014</v>
      </c>
      <c r="X338" s="4">
        <f t="shared" si="77"/>
        <v>21.600000000000016</v>
      </c>
      <c r="Y338" s="4">
        <f t="shared" si="77"/>
        <v>21.200000000000017</v>
      </c>
      <c r="Z338" s="4">
        <f t="shared" si="77"/>
        <v>20.800000000000018</v>
      </c>
      <c r="AA338" s="4">
        <f t="shared" si="77"/>
        <v>20.40000000000002</v>
      </c>
      <c r="AB338" s="4">
        <f t="shared" si="77"/>
        <v>20.000000000000021</v>
      </c>
      <c r="AC338" s="4">
        <f t="shared" si="77"/>
        <v>19.600000000000023</v>
      </c>
      <c r="AD338" s="4">
        <f t="shared" si="77"/>
        <v>19.200000000000024</v>
      </c>
      <c r="AE338" s="4">
        <f t="shared" si="77"/>
        <v>18.800000000000026</v>
      </c>
      <c r="AF338" s="4">
        <f t="shared" si="77"/>
        <v>18.400000000000027</v>
      </c>
      <c r="AG338" s="4">
        <f t="shared" si="77"/>
        <v>18.100000000000026</v>
      </c>
      <c r="AH338" s="4">
        <f t="shared" si="77"/>
        <v>17.800000000000026</v>
      </c>
      <c r="AI338" s="4">
        <f t="shared" si="77"/>
        <v>17.500000000000025</v>
      </c>
      <c r="AJ338" s="4">
        <f t="shared" si="77"/>
        <v>17.200000000000024</v>
      </c>
      <c r="AK338" s="4">
        <f t="shared" si="77"/>
        <v>16.900000000000023</v>
      </c>
    </row>
    <row r="339" spans="3:37" outlineLevel="1" x14ac:dyDescent="0.25">
      <c r="C339" s="38">
        <v>31</v>
      </c>
      <c r="D339" s="4">
        <f t="shared" si="77"/>
        <v>30.5</v>
      </c>
      <c r="E339" s="4">
        <f t="shared" si="77"/>
        <v>30</v>
      </c>
      <c r="F339" s="4">
        <f t="shared" si="77"/>
        <v>29.5</v>
      </c>
      <c r="G339" s="4">
        <f t="shared" si="77"/>
        <v>29</v>
      </c>
      <c r="H339" s="4">
        <f t="shared" si="77"/>
        <v>28.5</v>
      </c>
      <c r="I339" s="4">
        <f t="shared" si="77"/>
        <v>28</v>
      </c>
      <c r="J339" s="4">
        <f t="shared" si="77"/>
        <v>27.5</v>
      </c>
      <c r="K339" s="4">
        <f t="shared" si="77"/>
        <v>27</v>
      </c>
      <c r="L339" s="4">
        <f t="shared" si="77"/>
        <v>26.5</v>
      </c>
      <c r="M339" s="4">
        <f t="shared" si="77"/>
        <v>26</v>
      </c>
      <c r="N339" s="4">
        <f t="shared" si="77"/>
        <v>25.6</v>
      </c>
      <c r="O339" s="4">
        <f t="shared" si="77"/>
        <v>25.200000000000003</v>
      </c>
      <c r="P339" s="4">
        <f t="shared" si="77"/>
        <v>24.800000000000004</v>
      </c>
      <c r="Q339" s="4">
        <f t="shared" si="77"/>
        <v>24.400000000000006</v>
      </c>
      <c r="R339" s="4">
        <f t="shared" si="77"/>
        <v>24.000000000000007</v>
      </c>
      <c r="S339" s="4">
        <f t="shared" si="77"/>
        <v>23.600000000000009</v>
      </c>
      <c r="T339" s="4">
        <f t="shared" si="77"/>
        <v>23.20000000000001</v>
      </c>
      <c r="U339" s="4">
        <f t="shared" si="77"/>
        <v>22.800000000000011</v>
      </c>
      <c r="V339" s="4">
        <f t="shared" si="77"/>
        <v>22.400000000000013</v>
      </c>
      <c r="W339" s="4">
        <f t="shared" si="77"/>
        <v>22.000000000000014</v>
      </c>
      <c r="X339" s="4">
        <f t="shared" si="77"/>
        <v>21.600000000000016</v>
      </c>
      <c r="Y339" s="4">
        <f t="shared" si="77"/>
        <v>21.200000000000017</v>
      </c>
      <c r="Z339" s="4">
        <f t="shared" si="77"/>
        <v>20.800000000000018</v>
      </c>
      <c r="AA339" s="4">
        <f t="shared" si="77"/>
        <v>20.40000000000002</v>
      </c>
      <c r="AB339" s="4">
        <f t="shared" si="77"/>
        <v>20.000000000000021</v>
      </c>
      <c r="AC339" s="4">
        <f t="shared" si="77"/>
        <v>19.600000000000023</v>
      </c>
      <c r="AD339" s="4">
        <f t="shared" si="77"/>
        <v>19.200000000000024</v>
      </c>
      <c r="AE339" s="4">
        <f t="shared" si="77"/>
        <v>18.800000000000026</v>
      </c>
      <c r="AF339" s="4">
        <f t="shared" si="77"/>
        <v>18.400000000000027</v>
      </c>
      <c r="AG339" s="4">
        <f t="shared" si="77"/>
        <v>18.100000000000026</v>
      </c>
      <c r="AH339" s="4">
        <f t="shared" si="77"/>
        <v>17.800000000000026</v>
      </c>
      <c r="AI339" s="4">
        <f t="shared" si="77"/>
        <v>17.500000000000025</v>
      </c>
      <c r="AJ339" s="4">
        <f t="shared" si="77"/>
        <v>17.200000000000024</v>
      </c>
      <c r="AK339" s="4">
        <f t="shared" si="77"/>
        <v>16.900000000000023</v>
      </c>
    </row>
    <row r="340" spans="3:37" outlineLevel="1" x14ac:dyDescent="0.25">
      <c r="C340" s="38">
        <v>31.1</v>
      </c>
      <c r="D340" s="4">
        <f t="shared" si="77"/>
        <v>30.6</v>
      </c>
      <c r="E340" s="4">
        <f t="shared" si="77"/>
        <v>30.1</v>
      </c>
      <c r="F340" s="4">
        <f t="shared" si="77"/>
        <v>29.6</v>
      </c>
      <c r="G340" s="4">
        <f t="shared" si="77"/>
        <v>29.1</v>
      </c>
      <c r="H340" s="4">
        <f t="shared" si="77"/>
        <v>28.6</v>
      </c>
      <c r="I340" s="4">
        <f t="shared" si="77"/>
        <v>28.1</v>
      </c>
      <c r="J340" s="4">
        <f t="shared" si="77"/>
        <v>27.6</v>
      </c>
      <c r="K340" s="4">
        <f t="shared" si="77"/>
        <v>27.1</v>
      </c>
      <c r="L340" s="4">
        <f t="shared" si="77"/>
        <v>26.6</v>
      </c>
      <c r="M340" s="4">
        <f t="shared" si="77"/>
        <v>26.1</v>
      </c>
      <c r="N340" s="4">
        <f t="shared" si="77"/>
        <v>25.700000000000003</v>
      </c>
      <c r="O340" s="4">
        <f t="shared" si="77"/>
        <v>25.300000000000004</v>
      </c>
      <c r="P340" s="4">
        <f t="shared" si="77"/>
        <v>24.900000000000006</v>
      </c>
      <c r="Q340" s="4">
        <f t="shared" si="77"/>
        <v>24.500000000000007</v>
      </c>
      <c r="R340" s="4">
        <f t="shared" si="77"/>
        <v>24.100000000000009</v>
      </c>
      <c r="S340" s="4">
        <f t="shared" si="77"/>
        <v>23.70000000000001</v>
      </c>
      <c r="T340" s="4">
        <f t="shared" si="77"/>
        <v>23.300000000000011</v>
      </c>
      <c r="U340" s="4">
        <f t="shared" si="77"/>
        <v>22.900000000000013</v>
      </c>
      <c r="V340" s="4">
        <f t="shared" si="77"/>
        <v>22.500000000000014</v>
      </c>
      <c r="W340" s="4">
        <f t="shared" si="77"/>
        <v>22.100000000000016</v>
      </c>
      <c r="X340" s="4">
        <f t="shared" si="77"/>
        <v>21.700000000000017</v>
      </c>
      <c r="Y340" s="4">
        <f t="shared" si="77"/>
        <v>21.300000000000018</v>
      </c>
      <c r="Z340" s="4">
        <f t="shared" si="77"/>
        <v>20.90000000000002</v>
      </c>
      <c r="AA340" s="4">
        <f t="shared" si="77"/>
        <v>20.500000000000021</v>
      </c>
      <c r="AB340" s="4">
        <f t="shared" si="77"/>
        <v>20.100000000000023</v>
      </c>
      <c r="AC340" s="4">
        <f t="shared" si="77"/>
        <v>19.700000000000024</v>
      </c>
      <c r="AD340" s="4">
        <f t="shared" si="77"/>
        <v>19.300000000000026</v>
      </c>
      <c r="AE340" s="4">
        <f t="shared" si="77"/>
        <v>18.900000000000027</v>
      </c>
      <c r="AF340" s="4">
        <f t="shared" si="77"/>
        <v>18.500000000000028</v>
      </c>
      <c r="AG340" s="4">
        <f t="shared" si="77"/>
        <v>18.10000000000003</v>
      </c>
      <c r="AH340" s="4">
        <f t="shared" si="77"/>
        <v>17.800000000000029</v>
      </c>
      <c r="AI340" s="4">
        <f t="shared" si="77"/>
        <v>17.500000000000028</v>
      </c>
      <c r="AJ340" s="4">
        <f t="shared" si="77"/>
        <v>17.200000000000028</v>
      </c>
      <c r="AK340" s="4">
        <f t="shared" si="77"/>
        <v>16.900000000000027</v>
      </c>
    </row>
    <row r="341" spans="3:37" outlineLevel="1" x14ac:dyDescent="0.25">
      <c r="C341" s="38">
        <v>31.2</v>
      </c>
      <c r="D341" s="4">
        <f t="shared" si="77"/>
        <v>30.7</v>
      </c>
      <c r="E341" s="4">
        <f t="shared" si="77"/>
        <v>30.2</v>
      </c>
      <c r="F341" s="4">
        <f t="shared" si="77"/>
        <v>29.7</v>
      </c>
      <c r="G341" s="4">
        <f t="shared" si="77"/>
        <v>29.2</v>
      </c>
      <c r="H341" s="4">
        <f t="shared" si="77"/>
        <v>28.7</v>
      </c>
      <c r="I341" s="4">
        <f t="shared" si="77"/>
        <v>28.2</v>
      </c>
      <c r="J341" s="4">
        <f t="shared" si="77"/>
        <v>27.7</v>
      </c>
      <c r="K341" s="4">
        <f t="shared" si="77"/>
        <v>27.2</v>
      </c>
      <c r="L341" s="4">
        <f t="shared" si="77"/>
        <v>26.7</v>
      </c>
      <c r="M341" s="4">
        <f t="shared" si="77"/>
        <v>26.2</v>
      </c>
      <c r="N341" s="4">
        <f t="shared" si="77"/>
        <v>25.8</v>
      </c>
      <c r="O341" s="4">
        <f t="shared" si="77"/>
        <v>25.400000000000002</v>
      </c>
      <c r="P341" s="4">
        <f t="shared" si="77"/>
        <v>25.000000000000004</v>
      </c>
      <c r="Q341" s="4">
        <f t="shared" si="77"/>
        <v>24.600000000000005</v>
      </c>
      <c r="R341" s="4">
        <f t="shared" si="77"/>
        <v>24.200000000000006</v>
      </c>
      <c r="S341" s="4">
        <f t="shared" si="77"/>
        <v>23.800000000000008</v>
      </c>
      <c r="T341" s="4">
        <f t="shared" si="77"/>
        <v>23.400000000000009</v>
      </c>
      <c r="U341" s="4">
        <f t="shared" si="77"/>
        <v>23.000000000000011</v>
      </c>
      <c r="V341" s="4">
        <f t="shared" si="77"/>
        <v>22.600000000000012</v>
      </c>
      <c r="W341" s="4">
        <f t="shared" si="77"/>
        <v>22.200000000000014</v>
      </c>
      <c r="X341" s="4">
        <f t="shared" si="77"/>
        <v>21.800000000000015</v>
      </c>
      <c r="Y341" s="4">
        <f t="shared" si="77"/>
        <v>21.400000000000016</v>
      </c>
      <c r="Z341" s="4">
        <f t="shared" si="77"/>
        <v>21.000000000000018</v>
      </c>
      <c r="AA341" s="4">
        <f t="shared" si="77"/>
        <v>20.600000000000019</v>
      </c>
      <c r="AB341" s="4">
        <f t="shared" si="77"/>
        <v>20.200000000000021</v>
      </c>
      <c r="AC341" s="4">
        <f t="shared" si="77"/>
        <v>19.800000000000022</v>
      </c>
      <c r="AD341" s="4">
        <f t="shared" si="77"/>
        <v>19.400000000000023</v>
      </c>
      <c r="AE341" s="4">
        <f t="shared" si="77"/>
        <v>19.000000000000025</v>
      </c>
      <c r="AF341" s="4">
        <f t="shared" si="77"/>
        <v>18.600000000000026</v>
      </c>
      <c r="AG341" s="4">
        <f t="shared" si="77"/>
        <v>18.200000000000028</v>
      </c>
      <c r="AH341" s="4">
        <f t="shared" si="77"/>
        <v>17.900000000000027</v>
      </c>
      <c r="AI341" s="4">
        <f t="shared" si="77"/>
        <v>17.600000000000026</v>
      </c>
      <c r="AJ341" s="4">
        <f t="shared" si="77"/>
        <v>17.300000000000026</v>
      </c>
      <c r="AK341" s="4">
        <f t="shared" si="77"/>
        <v>17.000000000000025</v>
      </c>
    </row>
    <row r="342" spans="3:37" outlineLevel="1" x14ac:dyDescent="0.25">
      <c r="C342" s="38">
        <v>31.3</v>
      </c>
      <c r="D342" s="4">
        <f t="shared" si="77"/>
        <v>30.8</v>
      </c>
      <c r="E342" s="4">
        <f t="shared" si="77"/>
        <v>30.3</v>
      </c>
      <c r="F342" s="4">
        <f t="shared" si="77"/>
        <v>29.8</v>
      </c>
      <c r="G342" s="4">
        <f t="shared" si="77"/>
        <v>29.3</v>
      </c>
      <c r="H342" s="4">
        <f t="shared" si="77"/>
        <v>28.8</v>
      </c>
      <c r="I342" s="4">
        <f t="shared" si="77"/>
        <v>28.3</v>
      </c>
      <c r="J342" s="4">
        <f t="shared" si="77"/>
        <v>27.8</v>
      </c>
      <c r="K342" s="4">
        <f t="shared" si="77"/>
        <v>27.3</v>
      </c>
      <c r="L342" s="4">
        <f t="shared" si="77"/>
        <v>26.8</v>
      </c>
      <c r="M342" s="4">
        <f t="shared" si="77"/>
        <v>26.3</v>
      </c>
      <c r="N342" s="4">
        <f t="shared" si="77"/>
        <v>25.900000000000002</v>
      </c>
      <c r="O342" s="4">
        <f t="shared" si="77"/>
        <v>25.500000000000004</v>
      </c>
      <c r="P342" s="4">
        <f t="shared" si="77"/>
        <v>25.100000000000005</v>
      </c>
      <c r="Q342" s="4">
        <f t="shared" si="77"/>
        <v>24.700000000000006</v>
      </c>
      <c r="R342" s="4">
        <f t="shared" si="77"/>
        <v>24.300000000000008</v>
      </c>
      <c r="S342" s="4">
        <f t="shared" si="77"/>
        <v>23.900000000000009</v>
      </c>
      <c r="T342" s="4">
        <f t="shared" si="77"/>
        <v>23.500000000000011</v>
      </c>
      <c r="U342" s="4">
        <f t="shared" si="77"/>
        <v>23.100000000000012</v>
      </c>
      <c r="V342" s="4">
        <f t="shared" si="77"/>
        <v>22.700000000000014</v>
      </c>
      <c r="W342" s="4">
        <f t="shared" si="77"/>
        <v>22.300000000000015</v>
      </c>
      <c r="X342" s="4">
        <f t="shared" si="77"/>
        <v>21.900000000000016</v>
      </c>
      <c r="Y342" s="4">
        <f t="shared" si="77"/>
        <v>21.500000000000018</v>
      </c>
      <c r="Z342" s="4">
        <f t="shared" si="77"/>
        <v>21.100000000000019</v>
      </c>
      <c r="AA342" s="4">
        <f t="shared" si="77"/>
        <v>20.700000000000021</v>
      </c>
      <c r="AB342" s="4">
        <f t="shared" si="77"/>
        <v>20.300000000000022</v>
      </c>
      <c r="AC342" s="4">
        <f t="shared" si="77"/>
        <v>19.900000000000023</v>
      </c>
      <c r="AD342" s="4">
        <f t="shared" si="77"/>
        <v>19.500000000000025</v>
      </c>
      <c r="AE342" s="4">
        <f t="shared" si="77"/>
        <v>19.100000000000026</v>
      </c>
      <c r="AF342" s="4">
        <f t="shared" si="77"/>
        <v>18.700000000000028</v>
      </c>
      <c r="AG342" s="4">
        <f t="shared" si="77"/>
        <v>18.300000000000029</v>
      </c>
      <c r="AH342" s="4">
        <f t="shared" si="77"/>
        <v>18.000000000000028</v>
      </c>
      <c r="AI342" s="4">
        <f t="shared" si="77"/>
        <v>17.700000000000028</v>
      </c>
      <c r="AJ342" s="4">
        <f t="shared" si="77"/>
        <v>17.400000000000027</v>
      </c>
      <c r="AK342" s="4">
        <f t="shared" si="77"/>
        <v>17.100000000000026</v>
      </c>
    </row>
    <row r="343" spans="3:37" outlineLevel="1" x14ac:dyDescent="0.25">
      <c r="C343" s="38">
        <v>31.4</v>
      </c>
      <c r="D343" s="4">
        <f t="shared" si="77"/>
        <v>30.9</v>
      </c>
      <c r="E343" s="4">
        <f t="shared" si="77"/>
        <v>30.4</v>
      </c>
      <c r="F343" s="4">
        <f t="shared" si="77"/>
        <v>29.9</v>
      </c>
      <c r="G343" s="4">
        <f t="shared" si="77"/>
        <v>29.4</v>
      </c>
      <c r="H343" s="4">
        <f t="shared" si="77"/>
        <v>28.9</v>
      </c>
      <c r="I343" s="4">
        <f t="shared" si="77"/>
        <v>28.4</v>
      </c>
      <c r="J343" s="4">
        <f t="shared" si="77"/>
        <v>27.9</v>
      </c>
      <c r="K343" s="4">
        <f t="shared" si="77"/>
        <v>27.4</v>
      </c>
      <c r="L343" s="4">
        <f t="shared" si="77"/>
        <v>26.9</v>
      </c>
      <c r="M343" s="4">
        <f t="shared" si="77"/>
        <v>26.4</v>
      </c>
      <c r="N343" s="4">
        <f t="shared" si="77"/>
        <v>26</v>
      </c>
      <c r="O343" s="4">
        <f t="shared" si="77"/>
        <v>25.6</v>
      </c>
      <c r="P343" s="4">
        <f t="shared" si="77"/>
        <v>25.200000000000003</v>
      </c>
      <c r="Q343" s="4">
        <f t="shared" si="77"/>
        <v>24.800000000000004</v>
      </c>
      <c r="R343" s="4">
        <f t="shared" si="77"/>
        <v>24.400000000000006</v>
      </c>
      <c r="S343" s="4">
        <f t="shared" si="77"/>
        <v>24.000000000000007</v>
      </c>
      <c r="T343" s="4">
        <f t="shared" si="77"/>
        <v>23.600000000000009</v>
      </c>
      <c r="U343" s="4">
        <f t="shared" si="77"/>
        <v>23.20000000000001</v>
      </c>
      <c r="V343" s="4">
        <f t="shared" si="77"/>
        <v>22.800000000000011</v>
      </c>
      <c r="W343" s="4">
        <f t="shared" si="77"/>
        <v>22.400000000000013</v>
      </c>
      <c r="X343" s="4">
        <f t="shared" si="77"/>
        <v>22.000000000000014</v>
      </c>
      <c r="Y343" s="4">
        <f t="shared" si="77"/>
        <v>21.600000000000016</v>
      </c>
      <c r="Z343" s="4">
        <f t="shared" si="77"/>
        <v>21.200000000000017</v>
      </c>
      <c r="AA343" s="4">
        <f t="shared" si="77"/>
        <v>20.800000000000018</v>
      </c>
      <c r="AB343" s="4">
        <f t="shared" si="77"/>
        <v>20.40000000000002</v>
      </c>
      <c r="AC343" s="4">
        <f t="shared" si="77"/>
        <v>20.000000000000021</v>
      </c>
      <c r="AD343" s="4">
        <f t="shared" si="77"/>
        <v>19.600000000000023</v>
      </c>
      <c r="AE343" s="4">
        <f t="shared" si="77"/>
        <v>19.200000000000024</v>
      </c>
      <c r="AF343" s="4">
        <f t="shared" si="77"/>
        <v>18.800000000000026</v>
      </c>
      <c r="AG343" s="4">
        <f t="shared" si="77"/>
        <v>18.400000000000027</v>
      </c>
      <c r="AH343" s="4">
        <f t="shared" si="77"/>
        <v>18.100000000000026</v>
      </c>
      <c r="AI343" s="4">
        <f t="shared" si="77"/>
        <v>17.800000000000026</v>
      </c>
      <c r="AJ343" s="4">
        <f t="shared" si="77"/>
        <v>17.500000000000025</v>
      </c>
      <c r="AK343" s="4">
        <f t="shared" si="77"/>
        <v>17.200000000000024</v>
      </c>
    </row>
    <row r="344" spans="3:37" outlineLevel="1" x14ac:dyDescent="0.25">
      <c r="C344" s="38">
        <v>31.5</v>
      </c>
      <c r="D344" s="4">
        <f t="shared" si="77"/>
        <v>31</v>
      </c>
      <c r="E344" s="4">
        <f t="shared" si="77"/>
        <v>30.5</v>
      </c>
      <c r="F344" s="4">
        <f t="shared" si="77"/>
        <v>30</v>
      </c>
      <c r="G344" s="4">
        <f t="shared" si="77"/>
        <v>29.5</v>
      </c>
      <c r="H344" s="4">
        <f t="shared" si="77"/>
        <v>29</v>
      </c>
      <c r="I344" s="4">
        <f t="shared" si="77"/>
        <v>28.5</v>
      </c>
      <c r="J344" s="4">
        <f t="shared" si="77"/>
        <v>28</v>
      </c>
      <c r="K344" s="4">
        <f t="shared" si="77"/>
        <v>27.5</v>
      </c>
      <c r="L344" s="4">
        <f t="shared" si="77"/>
        <v>27</v>
      </c>
      <c r="M344" s="4">
        <f t="shared" si="77"/>
        <v>26.5</v>
      </c>
      <c r="N344" s="4">
        <f t="shared" si="77"/>
        <v>26</v>
      </c>
      <c r="O344" s="4">
        <f t="shared" si="77"/>
        <v>25.6</v>
      </c>
      <c r="P344" s="4">
        <f t="shared" si="77"/>
        <v>25.200000000000003</v>
      </c>
      <c r="Q344" s="4">
        <f t="shared" si="77"/>
        <v>24.800000000000004</v>
      </c>
      <c r="R344" s="4">
        <f t="shared" si="77"/>
        <v>24.400000000000006</v>
      </c>
      <c r="S344" s="4">
        <f t="shared" si="77"/>
        <v>24.000000000000007</v>
      </c>
      <c r="T344" s="4">
        <f t="shared" si="77"/>
        <v>23.600000000000009</v>
      </c>
      <c r="U344" s="4">
        <f t="shared" ref="U344:AK344" si="78">(IF(T344&lt;=4.4,T344-$E$6,IF(AND(T344&gt;=4.5,T344&lt;=11.4),T344-$E$7,IF(AND(T344&gt;=11.5,T344&lt;=18.4),T344-$E$8,IF(AND(T344&gt;=18.5,T344&lt;=26.4),T344-$E$9,IF(AND(T344&gt;=26.4,T344&lt;=36),T344-$E$10,IF(T344&gt;=37,T344-$E$11)))))))</f>
        <v>23.20000000000001</v>
      </c>
      <c r="V344" s="4">
        <f t="shared" si="78"/>
        <v>22.800000000000011</v>
      </c>
      <c r="W344" s="4">
        <f t="shared" si="78"/>
        <v>22.400000000000013</v>
      </c>
      <c r="X344" s="4">
        <f t="shared" si="78"/>
        <v>22.000000000000014</v>
      </c>
      <c r="Y344" s="4">
        <f t="shared" si="78"/>
        <v>21.600000000000016</v>
      </c>
      <c r="Z344" s="4">
        <f t="shared" si="78"/>
        <v>21.200000000000017</v>
      </c>
      <c r="AA344" s="4">
        <f t="shared" si="78"/>
        <v>20.800000000000018</v>
      </c>
      <c r="AB344" s="4">
        <f t="shared" si="78"/>
        <v>20.40000000000002</v>
      </c>
      <c r="AC344" s="4">
        <f t="shared" si="78"/>
        <v>20.000000000000021</v>
      </c>
      <c r="AD344" s="4">
        <f t="shared" si="78"/>
        <v>19.600000000000023</v>
      </c>
      <c r="AE344" s="4">
        <f t="shared" si="78"/>
        <v>19.200000000000024</v>
      </c>
      <c r="AF344" s="4">
        <f t="shared" si="78"/>
        <v>18.800000000000026</v>
      </c>
      <c r="AG344" s="4">
        <f t="shared" si="78"/>
        <v>18.400000000000027</v>
      </c>
      <c r="AH344" s="4">
        <f t="shared" si="78"/>
        <v>18.100000000000026</v>
      </c>
      <c r="AI344" s="4">
        <f t="shared" si="78"/>
        <v>17.800000000000026</v>
      </c>
      <c r="AJ344" s="4">
        <f t="shared" si="78"/>
        <v>17.500000000000025</v>
      </c>
      <c r="AK344" s="4">
        <f t="shared" si="78"/>
        <v>17.200000000000024</v>
      </c>
    </row>
    <row r="345" spans="3:37" outlineLevel="1" x14ac:dyDescent="0.25">
      <c r="C345" s="38">
        <v>31.6</v>
      </c>
      <c r="D345" s="4">
        <f t="shared" ref="D345:AK352" si="79">(IF(C345&lt;=4.4,C345-$E$6,IF(AND(C345&gt;=4.5,C345&lt;=11.4),C345-$E$7,IF(AND(C345&gt;=11.5,C345&lt;=18.4),C345-$E$8,IF(AND(C345&gt;=18.5,C345&lt;=26.4),C345-$E$9,IF(AND(C345&gt;=26.4,C345&lt;=36),C345-$E$10,IF(C345&gt;=37,C345-$E$11)))))))</f>
        <v>31.1</v>
      </c>
      <c r="E345" s="4">
        <f t="shared" si="79"/>
        <v>30.6</v>
      </c>
      <c r="F345" s="4">
        <f t="shared" si="79"/>
        <v>30.1</v>
      </c>
      <c r="G345" s="4">
        <f t="shared" si="79"/>
        <v>29.6</v>
      </c>
      <c r="H345" s="4">
        <f t="shared" si="79"/>
        <v>29.1</v>
      </c>
      <c r="I345" s="4">
        <f t="shared" si="79"/>
        <v>28.6</v>
      </c>
      <c r="J345" s="4">
        <f t="shared" si="79"/>
        <v>28.1</v>
      </c>
      <c r="K345" s="4">
        <f t="shared" si="79"/>
        <v>27.6</v>
      </c>
      <c r="L345" s="4">
        <f t="shared" si="79"/>
        <v>27.1</v>
      </c>
      <c r="M345" s="4">
        <f t="shared" si="79"/>
        <v>26.6</v>
      </c>
      <c r="N345" s="4">
        <f t="shared" si="79"/>
        <v>26.1</v>
      </c>
      <c r="O345" s="4">
        <f t="shared" si="79"/>
        <v>25.700000000000003</v>
      </c>
      <c r="P345" s="4">
        <f t="shared" si="79"/>
        <v>25.300000000000004</v>
      </c>
      <c r="Q345" s="4">
        <f t="shared" si="79"/>
        <v>24.900000000000006</v>
      </c>
      <c r="R345" s="4">
        <f t="shared" si="79"/>
        <v>24.500000000000007</v>
      </c>
      <c r="S345" s="4">
        <f t="shared" si="79"/>
        <v>24.100000000000009</v>
      </c>
      <c r="T345" s="4">
        <f t="shared" si="79"/>
        <v>23.70000000000001</v>
      </c>
      <c r="U345" s="4">
        <f t="shared" si="79"/>
        <v>23.300000000000011</v>
      </c>
      <c r="V345" s="4">
        <f t="shared" si="79"/>
        <v>22.900000000000013</v>
      </c>
      <c r="W345" s="4">
        <f t="shared" si="79"/>
        <v>22.500000000000014</v>
      </c>
      <c r="X345" s="4">
        <f t="shared" si="79"/>
        <v>22.100000000000016</v>
      </c>
      <c r="Y345" s="4">
        <f t="shared" si="79"/>
        <v>21.700000000000017</v>
      </c>
      <c r="Z345" s="4">
        <f t="shared" si="79"/>
        <v>21.300000000000018</v>
      </c>
      <c r="AA345" s="4">
        <f t="shared" si="79"/>
        <v>20.90000000000002</v>
      </c>
      <c r="AB345" s="4">
        <f t="shared" si="79"/>
        <v>20.500000000000021</v>
      </c>
      <c r="AC345" s="4">
        <f t="shared" si="79"/>
        <v>20.100000000000023</v>
      </c>
      <c r="AD345" s="4">
        <f t="shared" si="79"/>
        <v>19.700000000000024</v>
      </c>
      <c r="AE345" s="4">
        <f t="shared" si="79"/>
        <v>19.300000000000026</v>
      </c>
      <c r="AF345" s="4">
        <f t="shared" si="79"/>
        <v>18.900000000000027</v>
      </c>
      <c r="AG345" s="4">
        <f t="shared" si="79"/>
        <v>18.500000000000028</v>
      </c>
      <c r="AH345" s="4">
        <f t="shared" si="79"/>
        <v>18.10000000000003</v>
      </c>
      <c r="AI345" s="4">
        <f t="shared" si="79"/>
        <v>17.800000000000029</v>
      </c>
      <c r="AJ345" s="4">
        <f t="shared" si="79"/>
        <v>17.500000000000028</v>
      </c>
      <c r="AK345" s="4">
        <f t="shared" si="79"/>
        <v>17.200000000000028</v>
      </c>
    </row>
    <row r="346" spans="3:37" outlineLevel="1" x14ac:dyDescent="0.25">
      <c r="C346" s="38">
        <v>31.7</v>
      </c>
      <c r="D346" s="4">
        <f t="shared" si="79"/>
        <v>31.2</v>
      </c>
      <c r="E346" s="4">
        <f t="shared" si="79"/>
        <v>30.7</v>
      </c>
      <c r="F346" s="4">
        <f t="shared" si="79"/>
        <v>30.2</v>
      </c>
      <c r="G346" s="4">
        <f t="shared" si="79"/>
        <v>29.7</v>
      </c>
      <c r="H346" s="4">
        <f t="shared" si="79"/>
        <v>29.2</v>
      </c>
      <c r="I346" s="4">
        <f t="shared" si="79"/>
        <v>28.7</v>
      </c>
      <c r="J346" s="4">
        <f t="shared" si="79"/>
        <v>28.2</v>
      </c>
      <c r="K346" s="4">
        <f t="shared" si="79"/>
        <v>27.7</v>
      </c>
      <c r="L346" s="4">
        <f t="shared" si="79"/>
        <v>27.2</v>
      </c>
      <c r="M346" s="4">
        <f t="shared" si="79"/>
        <v>26.7</v>
      </c>
      <c r="N346" s="4">
        <f t="shared" si="79"/>
        <v>26.2</v>
      </c>
      <c r="O346" s="4">
        <f t="shared" si="79"/>
        <v>25.8</v>
      </c>
      <c r="P346" s="4">
        <f t="shared" si="79"/>
        <v>25.400000000000002</v>
      </c>
      <c r="Q346" s="4">
        <f t="shared" si="79"/>
        <v>25.000000000000004</v>
      </c>
      <c r="R346" s="4">
        <f t="shared" si="79"/>
        <v>24.600000000000005</v>
      </c>
      <c r="S346" s="4">
        <f t="shared" si="79"/>
        <v>24.200000000000006</v>
      </c>
      <c r="T346" s="4">
        <f t="shared" si="79"/>
        <v>23.800000000000008</v>
      </c>
      <c r="U346" s="4">
        <f t="shared" si="79"/>
        <v>23.400000000000009</v>
      </c>
      <c r="V346" s="4">
        <f t="shared" si="79"/>
        <v>23.000000000000011</v>
      </c>
      <c r="W346" s="4">
        <f t="shared" si="79"/>
        <v>22.600000000000012</v>
      </c>
      <c r="X346" s="4">
        <f t="shared" si="79"/>
        <v>22.200000000000014</v>
      </c>
      <c r="Y346" s="4">
        <f t="shared" si="79"/>
        <v>21.800000000000015</v>
      </c>
      <c r="Z346" s="4">
        <f t="shared" si="79"/>
        <v>21.400000000000016</v>
      </c>
      <c r="AA346" s="4">
        <f t="shared" si="79"/>
        <v>21.000000000000018</v>
      </c>
      <c r="AB346" s="4">
        <f t="shared" si="79"/>
        <v>20.600000000000019</v>
      </c>
      <c r="AC346" s="4">
        <f t="shared" si="79"/>
        <v>20.200000000000021</v>
      </c>
      <c r="AD346" s="4">
        <f t="shared" si="79"/>
        <v>19.800000000000022</v>
      </c>
      <c r="AE346" s="4">
        <f t="shared" si="79"/>
        <v>19.400000000000023</v>
      </c>
      <c r="AF346" s="4">
        <f t="shared" si="79"/>
        <v>19.000000000000025</v>
      </c>
      <c r="AG346" s="4">
        <f t="shared" si="79"/>
        <v>18.600000000000026</v>
      </c>
      <c r="AH346" s="4">
        <f t="shared" si="79"/>
        <v>18.200000000000028</v>
      </c>
      <c r="AI346" s="4">
        <f t="shared" si="79"/>
        <v>17.900000000000027</v>
      </c>
      <c r="AJ346" s="4">
        <f t="shared" si="79"/>
        <v>17.600000000000026</v>
      </c>
      <c r="AK346" s="4">
        <f t="shared" si="79"/>
        <v>17.300000000000026</v>
      </c>
    </row>
    <row r="347" spans="3:37" outlineLevel="1" x14ac:dyDescent="0.25">
      <c r="C347" s="38">
        <v>31.8</v>
      </c>
      <c r="D347" s="4">
        <f t="shared" si="79"/>
        <v>31.3</v>
      </c>
      <c r="E347" s="4">
        <f t="shared" si="79"/>
        <v>30.8</v>
      </c>
      <c r="F347" s="4">
        <f t="shared" si="79"/>
        <v>30.3</v>
      </c>
      <c r="G347" s="4">
        <f t="shared" si="79"/>
        <v>29.8</v>
      </c>
      <c r="H347" s="4">
        <f t="shared" si="79"/>
        <v>29.3</v>
      </c>
      <c r="I347" s="4">
        <f t="shared" si="79"/>
        <v>28.8</v>
      </c>
      <c r="J347" s="4">
        <f t="shared" si="79"/>
        <v>28.3</v>
      </c>
      <c r="K347" s="4">
        <f t="shared" si="79"/>
        <v>27.8</v>
      </c>
      <c r="L347" s="4">
        <f t="shared" si="79"/>
        <v>27.3</v>
      </c>
      <c r="M347" s="4">
        <f t="shared" si="79"/>
        <v>26.8</v>
      </c>
      <c r="N347" s="4">
        <f t="shared" si="79"/>
        <v>26.3</v>
      </c>
      <c r="O347" s="4">
        <f t="shared" si="79"/>
        <v>25.900000000000002</v>
      </c>
      <c r="P347" s="4">
        <f t="shared" si="79"/>
        <v>25.500000000000004</v>
      </c>
      <c r="Q347" s="4">
        <f t="shared" si="79"/>
        <v>25.100000000000005</v>
      </c>
      <c r="R347" s="4">
        <f t="shared" si="79"/>
        <v>24.700000000000006</v>
      </c>
      <c r="S347" s="4">
        <f t="shared" si="79"/>
        <v>24.300000000000008</v>
      </c>
      <c r="T347" s="4">
        <f t="shared" si="79"/>
        <v>23.900000000000009</v>
      </c>
      <c r="U347" s="4">
        <f t="shared" si="79"/>
        <v>23.500000000000011</v>
      </c>
      <c r="V347" s="4">
        <f t="shared" si="79"/>
        <v>23.100000000000012</v>
      </c>
      <c r="W347" s="4">
        <f t="shared" si="79"/>
        <v>22.700000000000014</v>
      </c>
      <c r="X347" s="4">
        <f t="shared" si="79"/>
        <v>22.300000000000015</v>
      </c>
      <c r="Y347" s="4">
        <f t="shared" si="79"/>
        <v>21.900000000000016</v>
      </c>
      <c r="Z347" s="4">
        <f t="shared" si="79"/>
        <v>21.500000000000018</v>
      </c>
      <c r="AA347" s="4">
        <f t="shared" si="79"/>
        <v>21.100000000000019</v>
      </c>
      <c r="AB347" s="4">
        <f t="shared" si="79"/>
        <v>20.700000000000021</v>
      </c>
      <c r="AC347" s="4">
        <f t="shared" si="79"/>
        <v>20.300000000000022</v>
      </c>
      <c r="AD347" s="4">
        <f t="shared" si="79"/>
        <v>19.900000000000023</v>
      </c>
      <c r="AE347" s="4">
        <f t="shared" si="79"/>
        <v>19.500000000000025</v>
      </c>
      <c r="AF347" s="4">
        <f t="shared" si="79"/>
        <v>19.100000000000026</v>
      </c>
      <c r="AG347" s="4">
        <f t="shared" si="79"/>
        <v>18.700000000000028</v>
      </c>
      <c r="AH347" s="4">
        <f t="shared" si="79"/>
        <v>18.300000000000029</v>
      </c>
      <c r="AI347" s="4">
        <f t="shared" si="79"/>
        <v>18.000000000000028</v>
      </c>
      <c r="AJ347" s="4">
        <f t="shared" si="79"/>
        <v>17.700000000000028</v>
      </c>
      <c r="AK347" s="4">
        <f t="shared" si="79"/>
        <v>17.400000000000027</v>
      </c>
    </row>
    <row r="348" spans="3:37" outlineLevel="1" x14ac:dyDescent="0.25">
      <c r="C348" s="38">
        <v>31.9</v>
      </c>
      <c r="D348" s="4">
        <f t="shared" si="79"/>
        <v>31.4</v>
      </c>
      <c r="E348" s="4">
        <f t="shared" si="79"/>
        <v>30.9</v>
      </c>
      <c r="F348" s="4">
        <f t="shared" si="79"/>
        <v>30.4</v>
      </c>
      <c r="G348" s="4">
        <f t="shared" si="79"/>
        <v>29.9</v>
      </c>
      <c r="H348" s="4">
        <f t="shared" si="79"/>
        <v>29.4</v>
      </c>
      <c r="I348" s="4">
        <f t="shared" si="79"/>
        <v>28.9</v>
      </c>
      <c r="J348" s="4">
        <f t="shared" si="79"/>
        <v>28.4</v>
      </c>
      <c r="K348" s="4">
        <f t="shared" si="79"/>
        <v>27.9</v>
      </c>
      <c r="L348" s="4">
        <f t="shared" si="79"/>
        <v>27.4</v>
      </c>
      <c r="M348" s="4">
        <f t="shared" si="79"/>
        <v>26.9</v>
      </c>
      <c r="N348" s="4">
        <f t="shared" si="79"/>
        <v>26.4</v>
      </c>
      <c r="O348" s="4">
        <f t="shared" si="79"/>
        <v>26</v>
      </c>
      <c r="P348" s="4">
        <f t="shared" si="79"/>
        <v>25.6</v>
      </c>
      <c r="Q348" s="4">
        <f t="shared" si="79"/>
        <v>25.200000000000003</v>
      </c>
      <c r="R348" s="4">
        <f t="shared" si="79"/>
        <v>24.800000000000004</v>
      </c>
      <c r="S348" s="4">
        <f t="shared" si="79"/>
        <v>24.400000000000006</v>
      </c>
      <c r="T348" s="4">
        <f t="shared" si="79"/>
        <v>24.000000000000007</v>
      </c>
      <c r="U348" s="4">
        <f t="shared" si="79"/>
        <v>23.600000000000009</v>
      </c>
      <c r="V348" s="4">
        <f t="shared" si="79"/>
        <v>23.20000000000001</v>
      </c>
      <c r="W348" s="4">
        <f t="shared" si="79"/>
        <v>22.800000000000011</v>
      </c>
      <c r="X348" s="4">
        <f t="shared" si="79"/>
        <v>22.400000000000013</v>
      </c>
      <c r="Y348" s="4">
        <f t="shared" si="79"/>
        <v>22.000000000000014</v>
      </c>
      <c r="Z348" s="4">
        <f t="shared" si="79"/>
        <v>21.600000000000016</v>
      </c>
      <c r="AA348" s="4">
        <f t="shared" si="79"/>
        <v>21.200000000000017</v>
      </c>
      <c r="AB348" s="4">
        <f t="shared" si="79"/>
        <v>20.800000000000018</v>
      </c>
      <c r="AC348" s="4">
        <f t="shared" si="79"/>
        <v>20.40000000000002</v>
      </c>
      <c r="AD348" s="4">
        <f t="shared" si="79"/>
        <v>20.000000000000021</v>
      </c>
      <c r="AE348" s="4">
        <f t="shared" si="79"/>
        <v>19.600000000000023</v>
      </c>
      <c r="AF348" s="4">
        <f t="shared" si="79"/>
        <v>19.200000000000024</v>
      </c>
      <c r="AG348" s="4">
        <f t="shared" si="79"/>
        <v>18.800000000000026</v>
      </c>
      <c r="AH348" s="4">
        <f t="shared" si="79"/>
        <v>18.400000000000027</v>
      </c>
      <c r="AI348" s="4">
        <f t="shared" si="79"/>
        <v>18.100000000000026</v>
      </c>
      <c r="AJ348" s="4">
        <f t="shared" si="79"/>
        <v>17.800000000000026</v>
      </c>
      <c r="AK348" s="4">
        <f t="shared" si="79"/>
        <v>17.500000000000025</v>
      </c>
    </row>
    <row r="349" spans="3:37" outlineLevel="1" x14ac:dyDescent="0.25">
      <c r="C349" s="38">
        <v>32</v>
      </c>
      <c r="D349" s="4">
        <f t="shared" si="79"/>
        <v>31.5</v>
      </c>
      <c r="E349" s="4">
        <f t="shared" si="79"/>
        <v>31</v>
      </c>
      <c r="F349" s="4">
        <f t="shared" si="79"/>
        <v>30.5</v>
      </c>
      <c r="G349" s="4">
        <f t="shared" si="79"/>
        <v>30</v>
      </c>
      <c r="H349" s="4">
        <f t="shared" si="79"/>
        <v>29.5</v>
      </c>
      <c r="I349" s="4">
        <f t="shared" si="79"/>
        <v>29</v>
      </c>
      <c r="J349" s="4">
        <f t="shared" si="79"/>
        <v>28.5</v>
      </c>
      <c r="K349" s="4">
        <f t="shared" si="79"/>
        <v>28</v>
      </c>
      <c r="L349" s="4">
        <f t="shared" si="79"/>
        <v>27.5</v>
      </c>
      <c r="M349" s="4">
        <f t="shared" si="79"/>
        <v>27</v>
      </c>
      <c r="N349" s="4">
        <f t="shared" si="79"/>
        <v>26.5</v>
      </c>
      <c r="O349" s="4">
        <f t="shared" si="79"/>
        <v>26</v>
      </c>
      <c r="P349" s="4">
        <f t="shared" si="79"/>
        <v>25.6</v>
      </c>
      <c r="Q349" s="4">
        <f t="shared" si="79"/>
        <v>25.200000000000003</v>
      </c>
      <c r="R349" s="4">
        <f t="shared" si="79"/>
        <v>24.800000000000004</v>
      </c>
      <c r="S349" s="4">
        <f t="shared" si="79"/>
        <v>24.400000000000006</v>
      </c>
      <c r="T349" s="4">
        <f t="shared" si="79"/>
        <v>24.000000000000007</v>
      </c>
      <c r="U349" s="4">
        <f t="shared" si="79"/>
        <v>23.600000000000009</v>
      </c>
      <c r="V349" s="4">
        <f t="shared" si="79"/>
        <v>23.20000000000001</v>
      </c>
      <c r="W349" s="4">
        <f t="shared" si="79"/>
        <v>22.800000000000011</v>
      </c>
      <c r="X349" s="4">
        <f t="shared" si="79"/>
        <v>22.400000000000013</v>
      </c>
      <c r="Y349" s="4">
        <f t="shared" si="79"/>
        <v>22.000000000000014</v>
      </c>
      <c r="Z349" s="4">
        <f t="shared" si="79"/>
        <v>21.600000000000016</v>
      </c>
      <c r="AA349" s="4">
        <f t="shared" si="79"/>
        <v>21.200000000000017</v>
      </c>
      <c r="AB349" s="4">
        <f t="shared" si="79"/>
        <v>20.800000000000018</v>
      </c>
      <c r="AC349" s="4">
        <f t="shared" si="79"/>
        <v>20.40000000000002</v>
      </c>
      <c r="AD349" s="4">
        <f t="shared" si="79"/>
        <v>20.000000000000021</v>
      </c>
      <c r="AE349" s="4">
        <f t="shared" si="79"/>
        <v>19.600000000000023</v>
      </c>
      <c r="AF349" s="4">
        <f t="shared" si="79"/>
        <v>19.200000000000024</v>
      </c>
      <c r="AG349" s="4">
        <f t="shared" si="79"/>
        <v>18.800000000000026</v>
      </c>
      <c r="AH349" s="4">
        <f t="shared" si="79"/>
        <v>18.400000000000027</v>
      </c>
      <c r="AI349" s="4">
        <f t="shared" si="79"/>
        <v>18.100000000000026</v>
      </c>
      <c r="AJ349" s="4">
        <f t="shared" si="79"/>
        <v>17.800000000000026</v>
      </c>
      <c r="AK349" s="4">
        <f t="shared" si="79"/>
        <v>17.500000000000025</v>
      </c>
    </row>
    <row r="350" spans="3:37" outlineLevel="1" x14ac:dyDescent="0.25">
      <c r="C350" s="38">
        <v>32.1</v>
      </c>
      <c r="D350" s="4">
        <f t="shared" si="79"/>
        <v>31.6</v>
      </c>
      <c r="E350" s="4">
        <f t="shared" si="79"/>
        <v>31.1</v>
      </c>
      <c r="F350" s="4">
        <f t="shared" si="79"/>
        <v>30.6</v>
      </c>
      <c r="G350" s="4">
        <f t="shared" si="79"/>
        <v>30.1</v>
      </c>
      <c r="H350" s="4">
        <f t="shared" si="79"/>
        <v>29.6</v>
      </c>
      <c r="I350" s="4">
        <f t="shared" si="79"/>
        <v>29.1</v>
      </c>
      <c r="J350" s="4">
        <f t="shared" si="79"/>
        <v>28.6</v>
      </c>
      <c r="K350" s="4">
        <f t="shared" si="79"/>
        <v>28.1</v>
      </c>
      <c r="L350" s="4">
        <f t="shared" si="79"/>
        <v>27.6</v>
      </c>
      <c r="M350" s="4">
        <f t="shared" si="79"/>
        <v>27.1</v>
      </c>
      <c r="N350" s="4">
        <f t="shared" si="79"/>
        <v>26.6</v>
      </c>
      <c r="O350" s="4">
        <f t="shared" si="79"/>
        <v>26.1</v>
      </c>
      <c r="P350" s="4">
        <f t="shared" si="79"/>
        <v>25.700000000000003</v>
      </c>
      <c r="Q350" s="4">
        <f t="shared" si="79"/>
        <v>25.300000000000004</v>
      </c>
      <c r="R350" s="4">
        <f t="shared" si="79"/>
        <v>24.900000000000006</v>
      </c>
      <c r="S350" s="4">
        <f t="shared" si="79"/>
        <v>24.500000000000007</v>
      </c>
      <c r="T350" s="4">
        <f t="shared" si="79"/>
        <v>24.100000000000009</v>
      </c>
      <c r="U350" s="4">
        <f t="shared" si="79"/>
        <v>23.70000000000001</v>
      </c>
      <c r="V350" s="4">
        <f t="shared" si="79"/>
        <v>23.300000000000011</v>
      </c>
      <c r="W350" s="4">
        <f t="shared" si="79"/>
        <v>22.900000000000013</v>
      </c>
      <c r="X350" s="4">
        <f t="shared" si="79"/>
        <v>22.500000000000014</v>
      </c>
      <c r="Y350" s="4">
        <f t="shared" si="79"/>
        <v>22.100000000000016</v>
      </c>
      <c r="Z350" s="4">
        <f t="shared" si="79"/>
        <v>21.700000000000017</v>
      </c>
      <c r="AA350" s="4">
        <f t="shared" si="79"/>
        <v>21.300000000000018</v>
      </c>
      <c r="AB350" s="4">
        <f t="shared" si="79"/>
        <v>20.90000000000002</v>
      </c>
      <c r="AC350" s="4">
        <f t="shared" si="79"/>
        <v>20.500000000000021</v>
      </c>
      <c r="AD350" s="4">
        <f t="shared" si="79"/>
        <v>20.100000000000023</v>
      </c>
      <c r="AE350" s="4">
        <f t="shared" si="79"/>
        <v>19.700000000000024</v>
      </c>
      <c r="AF350" s="4">
        <f t="shared" si="79"/>
        <v>19.300000000000026</v>
      </c>
      <c r="AG350" s="4">
        <f t="shared" si="79"/>
        <v>18.900000000000027</v>
      </c>
      <c r="AH350" s="4">
        <f t="shared" si="79"/>
        <v>18.500000000000028</v>
      </c>
      <c r="AI350" s="4">
        <f t="shared" si="79"/>
        <v>18.10000000000003</v>
      </c>
      <c r="AJ350" s="4">
        <f t="shared" si="79"/>
        <v>17.800000000000029</v>
      </c>
      <c r="AK350" s="4">
        <f t="shared" si="79"/>
        <v>17.500000000000028</v>
      </c>
    </row>
    <row r="351" spans="3:37" outlineLevel="1" x14ac:dyDescent="0.25">
      <c r="C351" s="38">
        <v>32.200000000000003</v>
      </c>
      <c r="D351" s="4">
        <f t="shared" si="79"/>
        <v>31.700000000000003</v>
      </c>
      <c r="E351" s="4">
        <f t="shared" si="79"/>
        <v>31.200000000000003</v>
      </c>
      <c r="F351" s="4">
        <f t="shared" si="79"/>
        <v>30.700000000000003</v>
      </c>
      <c r="G351" s="4">
        <f t="shared" si="79"/>
        <v>30.200000000000003</v>
      </c>
      <c r="H351" s="4">
        <f t="shared" si="79"/>
        <v>29.700000000000003</v>
      </c>
      <c r="I351" s="4">
        <f t="shared" si="79"/>
        <v>29.200000000000003</v>
      </c>
      <c r="J351" s="4">
        <f t="shared" si="79"/>
        <v>28.700000000000003</v>
      </c>
      <c r="K351" s="4">
        <f t="shared" si="79"/>
        <v>28.200000000000003</v>
      </c>
      <c r="L351" s="4">
        <f t="shared" si="79"/>
        <v>27.700000000000003</v>
      </c>
      <c r="M351" s="4">
        <f t="shared" si="79"/>
        <v>27.200000000000003</v>
      </c>
      <c r="N351" s="4">
        <f t="shared" si="79"/>
        <v>26.700000000000003</v>
      </c>
      <c r="O351" s="4">
        <f t="shared" si="79"/>
        <v>26.200000000000003</v>
      </c>
      <c r="P351" s="4">
        <f t="shared" si="79"/>
        <v>25.800000000000004</v>
      </c>
      <c r="Q351" s="4">
        <f t="shared" si="79"/>
        <v>25.400000000000006</v>
      </c>
      <c r="R351" s="4">
        <f t="shared" si="79"/>
        <v>25.000000000000007</v>
      </c>
      <c r="S351" s="4">
        <f t="shared" si="79"/>
        <v>24.600000000000009</v>
      </c>
      <c r="T351" s="4">
        <f t="shared" si="79"/>
        <v>24.20000000000001</v>
      </c>
      <c r="U351" s="4">
        <f t="shared" si="79"/>
        <v>23.800000000000011</v>
      </c>
      <c r="V351" s="4">
        <f t="shared" si="79"/>
        <v>23.400000000000013</v>
      </c>
      <c r="W351" s="4">
        <f t="shared" si="79"/>
        <v>23.000000000000014</v>
      </c>
      <c r="X351" s="4">
        <f t="shared" si="79"/>
        <v>22.600000000000016</v>
      </c>
      <c r="Y351" s="4">
        <f t="shared" si="79"/>
        <v>22.200000000000017</v>
      </c>
      <c r="Z351" s="4">
        <f t="shared" si="79"/>
        <v>21.800000000000018</v>
      </c>
      <c r="AA351" s="4">
        <f t="shared" si="79"/>
        <v>21.40000000000002</v>
      </c>
      <c r="AB351" s="4">
        <f t="shared" si="79"/>
        <v>21.000000000000021</v>
      </c>
      <c r="AC351" s="4">
        <f t="shared" si="79"/>
        <v>20.600000000000023</v>
      </c>
      <c r="AD351" s="4">
        <f t="shared" si="79"/>
        <v>20.200000000000024</v>
      </c>
      <c r="AE351" s="4">
        <f t="shared" si="79"/>
        <v>19.800000000000026</v>
      </c>
      <c r="AF351" s="4">
        <f t="shared" si="79"/>
        <v>19.400000000000027</v>
      </c>
      <c r="AG351" s="4">
        <f t="shared" si="79"/>
        <v>19.000000000000028</v>
      </c>
      <c r="AH351" s="4">
        <f t="shared" si="79"/>
        <v>18.60000000000003</v>
      </c>
      <c r="AI351" s="4">
        <f t="shared" si="79"/>
        <v>18.200000000000031</v>
      </c>
      <c r="AJ351" s="4">
        <f t="shared" si="79"/>
        <v>17.900000000000031</v>
      </c>
      <c r="AK351" s="4">
        <f t="shared" si="79"/>
        <v>17.60000000000003</v>
      </c>
    </row>
    <row r="352" spans="3:37" outlineLevel="1" x14ac:dyDescent="0.25">
      <c r="C352" s="38">
        <v>32.299999999999997</v>
      </c>
      <c r="D352" s="4">
        <f t="shared" si="79"/>
        <v>31.799999999999997</v>
      </c>
      <c r="E352" s="4">
        <f t="shared" si="79"/>
        <v>31.299999999999997</v>
      </c>
      <c r="F352" s="4">
        <f t="shared" si="79"/>
        <v>30.799999999999997</v>
      </c>
      <c r="G352" s="4">
        <f t="shared" si="79"/>
        <v>30.299999999999997</v>
      </c>
      <c r="H352" s="4">
        <f t="shared" si="79"/>
        <v>29.799999999999997</v>
      </c>
      <c r="I352" s="4">
        <f t="shared" si="79"/>
        <v>29.299999999999997</v>
      </c>
      <c r="J352" s="4">
        <f t="shared" si="79"/>
        <v>28.799999999999997</v>
      </c>
      <c r="K352" s="4">
        <f t="shared" si="79"/>
        <v>28.299999999999997</v>
      </c>
      <c r="L352" s="4">
        <f t="shared" si="79"/>
        <v>27.799999999999997</v>
      </c>
      <c r="M352" s="4">
        <f t="shared" si="79"/>
        <v>27.299999999999997</v>
      </c>
      <c r="N352" s="4">
        <f t="shared" si="79"/>
        <v>26.799999999999997</v>
      </c>
      <c r="O352" s="4">
        <f t="shared" si="79"/>
        <v>26.299999999999997</v>
      </c>
      <c r="P352" s="4">
        <f t="shared" si="79"/>
        <v>25.9</v>
      </c>
      <c r="Q352" s="4">
        <f t="shared" si="79"/>
        <v>25.5</v>
      </c>
      <c r="R352" s="4">
        <f t="shared" si="79"/>
        <v>25.1</v>
      </c>
      <c r="S352" s="4">
        <f t="shared" si="79"/>
        <v>24.700000000000003</v>
      </c>
      <c r="T352" s="4">
        <f t="shared" si="79"/>
        <v>24.300000000000004</v>
      </c>
      <c r="U352" s="4">
        <f t="shared" ref="U352:AK352" si="80">(IF(T352&lt;=4.4,T352-$E$6,IF(AND(T352&gt;=4.5,T352&lt;=11.4),T352-$E$7,IF(AND(T352&gt;=11.5,T352&lt;=18.4),T352-$E$8,IF(AND(T352&gt;=18.5,T352&lt;=26.4),T352-$E$9,IF(AND(T352&gt;=26.4,T352&lt;=36),T352-$E$10,IF(T352&gt;=37,T352-$E$11)))))))</f>
        <v>23.900000000000006</v>
      </c>
      <c r="V352" s="4">
        <f t="shared" si="80"/>
        <v>23.500000000000007</v>
      </c>
      <c r="W352" s="4">
        <f t="shared" si="80"/>
        <v>23.100000000000009</v>
      </c>
      <c r="X352" s="4">
        <f t="shared" si="80"/>
        <v>22.70000000000001</v>
      </c>
      <c r="Y352" s="4">
        <f t="shared" si="80"/>
        <v>22.300000000000011</v>
      </c>
      <c r="Z352" s="4">
        <f t="shared" si="80"/>
        <v>21.900000000000013</v>
      </c>
      <c r="AA352" s="4">
        <f t="shared" si="80"/>
        <v>21.500000000000014</v>
      </c>
      <c r="AB352" s="4">
        <f t="shared" si="80"/>
        <v>21.100000000000016</v>
      </c>
      <c r="AC352" s="4">
        <f t="shared" si="80"/>
        <v>20.700000000000017</v>
      </c>
      <c r="AD352" s="4">
        <f t="shared" si="80"/>
        <v>20.300000000000018</v>
      </c>
      <c r="AE352" s="4">
        <f t="shared" si="80"/>
        <v>19.90000000000002</v>
      </c>
      <c r="AF352" s="4">
        <f t="shared" si="80"/>
        <v>19.500000000000021</v>
      </c>
      <c r="AG352" s="4">
        <f t="shared" si="80"/>
        <v>19.100000000000023</v>
      </c>
      <c r="AH352" s="4">
        <f t="shared" si="80"/>
        <v>18.700000000000024</v>
      </c>
      <c r="AI352" s="4">
        <f t="shared" si="80"/>
        <v>18.300000000000026</v>
      </c>
      <c r="AJ352" s="4">
        <f t="shared" si="80"/>
        <v>18.000000000000025</v>
      </c>
      <c r="AK352" s="4">
        <f t="shared" si="80"/>
        <v>17.700000000000024</v>
      </c>
    </row>
    <row r="353" spans="3:37" outlineLevel="1" x14ac:dyDescent="0.25">
      <c r="C353" s="38">
        <v>32.4</v>
      </c>
      <c r="D353" s="4">
        <f t="shared" ref="D353:AK360" si="81">(IF(C353&lt;=4.4,C353-$E$6,IF(AND(C353&gt;=4.5,C353&lt;=11.4),C353-$E$7,IF(AND(C353&gt;=11.5,C353&lt;=18.4),C353-$E$8,IF(AND(C353&gt;=18.5,C353&lt;=26.4),C353-$E$9,IF(AND(C353&gt;=26.4,C353&lt;=36),C353-$E$10,IF(C353&gt;=37,C353-$E$11)))))))</f>
        <v>31.9</v>
      </c>
      <c r="E353" s="4">
        <f t="shared" si="81"/>
        <v>31.4</v>
      </c>
      <c r="F353" s="4">
        <f t="shared" si="81"/>
        <v>30.9</v>
      </c>
      <c r="G353" s="4">
        <f t="shared" si="81"/>
        <v>30.4</v>
      </c>
      <c r="H353" s="4">
        <f t="shared" si="81"/>
        <v>29.9</v>
      </c>
      <c r="I353" s="4">
        <f t="shared" si="81"/>
        <v>29.4</v>
      </c>
      <c r="J353" s="4">
        <f t="shared" si="81"/>
        <v>28.9</v>
      </c>
      <c r="K353" s="4">
        <f t="shared" si="81"/>
        <v>28.4</v>
      </c>
      <c r="L353" s="4">
        <f t="shared" si="81"/>
        <v>27.9</v>
      </c>
      <c r="M353" s="4">
        <f t="shared" si="81"/>
        <v>27.4</v>
      </c>
      <c r="N353" s="4">
        <f t="shared" si="81"/>
        <v>26.9</v>
      </c>
      <c r="O353" s="4">
        <f t="shared" si="81"/>
        <v>26.4</v>
      </c>
      <c r="P353" s="4">
        <f t="shared" si="81"/>
        <v>26</v>
      </c>
      <c r="Q353" s="4">
        <f t="shared" si="81"/>
        <v>25.6</v>
      </c>
      <c r="R353" s="4">
        <f t="shared" si="81"/>
        <v>25.200000000000003</v>
      </c>
      <c r="S353" s="4">
        <f t="shared" si="81"/>
        <v>24.800000000000004</v>
      </c>
      <c r="T353" s="4">
        <f t="shared" si="81"/>
        <v>24.400000000000006</v>
      </c>
      <c r="U353" s="4">
        <f t="shared" si="81"/>
        <v>24.000000000000007</v>
      </c>
      <c r="V353" s="4">
        <f t="shared" si="81"/>
        <v>23.600000000000009</v>
      </c>
      <c r="W353" s="4">
        <f t="shared" si="81"/>
        <v>23.20000000000001</v>
      </c>
      <c r="X353" s="4">
        <f t="shared" si="81"/>
        <v>22.800000000000011</v>
      </c>
      <c r="Y353" s="4">
        <f t="shared" si="81"/>
        <v>22.400000000000013</v>
      </c>
      <c r="Z353" s="4">
        <f t="shared" si="81"/>
        <v>22.000000000000014</v>
      </c>
      <c r="AA353" s="4">
        <f t="shared" si="81"/>
        <v>21.600000000000016</v>
      </c>
      <c r="AB353" s="4">
        <f t="shared" si="81"/>
        <v>21.200000000000017</v>
      </c>
      <c r="AC353" s="4">
        <f t="shared" si="81"/>
        <v>20.800000000000018</v>
      </c>
      <c r="AD353" s="4">
        <f t="shared" si="81"/>
        <v>20.40000000000002</v>
      </c>
      <c r="AE353" s="4">
        <f t="shared" si="81"/>
        <v>20.000000000000021</v>
      </c>
      <c r="AF353" s="4">
        <f t="shared" si="81"/>
        <v>19.600000000000023</v>
      </c>
      <c r="AG353" s="4">
        <f t="shared" si="81"/>
        <v>19.200000000000024</v>
      </c>
      <c r="AH353" s="4">
        <f t="shared" si="81"/>
        <v>18.800000000000026</v>
      </c>
      <c r="AI353" s="4">
        <f t="shared" si="81"/>
        <v>18.400000000000027</v>
      </c>
      <c r="AJ353" s="4">
        <f t="shared" si="81"/>
        <v>18.100000000000026</v>
      </c>
      <c r="AK353" s="4">
        <f t="shared" si="81"/>
        <v>17.800000000000026</v>
      </c>
    </row>
    <row r="354" spans="3:37" outlineLevel="1" x14ac:dyDescent="0.25">
      <c r="C354" s="38">
        <v>32.5</v>
      </c>
      <c r="D354" s="4">
        <f t="shared" si="81"/>
        <v>32</v>
      </c>
      <c r="E354" s="4">
        <f t="shared" si="81"/>
        <v>31.5</v>
      </c>
      <c r="F354" s="4">
        <f t="shared" si="81"/>
        <v>31</v>
      </c>
      <c r="G354" s="4">
        <f t="shared" si="81"/>
        <v>30.5</v>
      </c>
      <c r="H354" s="4">
        <f t="shared" si="81"/>
        <v>30</v>
      </c>
      <c r="I354" s="4">
        <f t="shared" si="81"/>
        <v>29.5</v>
      </c>
      <c r="J354" s="4">
        <f t="shared" si="81"/>
        <v>29</v>
      </c>
      <c r="K354" s="4">
        <f t="shared" si="81"/>
        <v>28.5</v>
      </c>
      <c r="L354" s="4">
        <f t="shared" si="81"/>
        <v>28</v>
      </c>
      <c r="M354" s="4">
        <f t="shared" si="81"/>
        <v>27.5</v>
      </c>
      <c r="N354" s="4">
        <f t="shared" si="81"/>
        <v>27</v>
      </c>
      <c r="O354" s="4">
        <f t="shared" si="81"/>
        <v>26.5</v>
      </c>
      <c r="P354" s="4">
        <f t="shared" si="81"/>
        <v>26</v>
      </c>
      <c r="Q354" s="4">
        <f t="shared" si="81"/>
        <v>25.6</v>
      </c>
      <c r="R354" s="4">
        <f t="shared" si="81"/>
        <v>25.200000000000003</v>
      </c>
      <c r="S354" s="4">
        <f t="shared" si="81"/>
        <v>24.800000000000004</v>
      </c>
      <c r="T354" s="4">
        <f t="shared" si="81"/>
        <v>24.400000000000006</v>
      </c>
      <c r="U354" s="4">
        <f t="shared" si="81"/>
        <v>24.000000000000007</v>
      </c>
      <c r="V354" s="4">
        <f t="shared" si="81"/>
        <v>23.600000000000009</v>
      </c>
      <c r="W354" s="4">
        <f t="shared" si="81"/>
        <v>23.20000000000001</v>
      </c>
      <c r="X354" s="4">
        <f t="shared" si="81"/>
        <v>22.800000000000011</v>
      </c>
      <c r="Y354" s="4">
        <f t="shared" si="81"/>
        <v>22.400000000000013</v>
      </c>
      <c r="Z354" s="4">
        <f t="shared" si="81"/>
        <v>22.000000000000014</v>
      </c>
      <c r="AA354" s="4">
        <f t="shared" si="81"/>
        <v>21.600000000000016</v>
      </c>
      <c r="AB354" s="4">
        <f t="shared" si="81"/>
        <v>21.200000000000017</v>
      </c>
      <c r="AC354" s="4">
        <f t="shared" si="81"/>
        <v>20.800000000000018</v>
      </c>
      <c r="AD354" s="4">
        <f t="shared" si="81"/>
        <v>20.40000000000002</v>
      </c>
      <c r="AE354" s="4">
        <f t="shared" si="81"/>
        <v>20.000000000000021</v>
      </c>
      <c r="AF354" s="4">
        <f t="shared" si="81"/>
        <v>19.600000000000023</v>
      </c>
      <c r="AG354" s="4">
        <f t="shared" si="81"/>
        <v>19.200000000000024</v>
      </c>
      <c r="AH354" s="4">
        <f t="shared" si="81"/>
        <v>18.800000000000026</v>
      </c>
      <c r="AI354" s="4">
        <f t="shared" si="81"/>
        <v>18.400000000000027</v>
      </c>
      <c r="AJ354" s="4">
        <f t="shared" si="81"/>
        <v>18.100000000000026</v>
      </c>
      <c r="AK354" s="4">
        <f t="shared" si="81"/>
        <v>17.800000000000026</v>
      </c>
    </row>
    <row r="355" spans="3:37" outlineLevel="1" x14ac:dyDescent="0.25">
      <c r="C355" s="38">
        <v>32.6</v>
      </c>
      <c r="D355" s="4">
        <f t="shared" si="81"/>
        <v>32.1</v>
      </c>
      <c r="E355" s="4">
        <f t="shared" si="81"/>
        <v>31.6</v>
      </c>
      <c r="F355" s="4">
        <f t="shared" si="81"/>
        <v>31.1</v>
      </c>
      <c r="G355" s="4">
        <f t="shared" si="81"/>
        <v>30.6</v>
      </c>
      <c r="H355" s="4">
        <f t="shared" si="81"/>
        <v>30.1</v>
      </c>
      <c r="I355" s="4">
        <f t="shared" si="81"/>
        <v>29.6</v>
      </c>
      <c r="J355" s="4">
        <f t="shared" si="81"/>
        <v>29.1</v>
      </c>
      <c r="K355" s="4">
        <f t="shared" si="81"/>
        <v>28.6</v>
      </c>
      <c r="L355" s="4">
        <f t="shared" si="81"/>
        <v>28.1</v>
      </c>
      <c r="M355" s="4">
        <f t="shared" si="81"/>
        <v>27.6</v>
      </c>
      <c r="N355" s="4">
        <f t="shared" si="81"/>
        <v>27.1</v>
      </c>
      <c r="O355" s="4">
        <f t="shared" si="81"/>
        <v>26.6</v>
      </c>
      <c r="P355" s="4">
        <f t="shared" si="81"/>
        <v>26.1</v>
      </c>
      <c r="Q355" s="4">
        <f t="shared" si="81"/>
        <v>25.700000000000003</v>
      </c>
      <c r="R355" s="4">
        <f t="shared" si="81"/>
        <v>25.300000000000004</v>
      </c>
      <c r="S355" s="4">
        <f t="shared" si="81"/>
        <v>24.900000000000006</v>
      </c>
      <c r="T355" s="4">
        <f t="shared" si="81"/>
        <v>24.500000000000007</v>
      </c>
      <c r="U355" s="4">
        <f t="shared" si="81"/>
        <v>24.100000000000009</v>
      </c>
      <c r="V355" s="4">
        <f t="shared" si="81"/>
        <v>23.70000000000001</v>
      </c>
      <c r="W355" s="4">
        <f t="shared" si="81"/>
        <v>23.300000000000011</v>
      </c>
      <c r="X355" s="4">
        <f t="shared" si="81"/>
        <v>22.900000000000013</v>
      </c>
      <c r="Y355" s="4">
        <f t="shared" si="81"/>
        <v>22.500000000000014</v>
      </c>
      <c r="Z355" s="4">
        <f t="shared" si="81"/>
        <v>22.100000000000016</v>
      </c>
      <c r="AA355" s="4">
        <f t="shared" si="81"/>
        <v>21.700000000000017</v>
      </c>
      <c r="AB355" s="4">
        <f t="shared" si="81"/>
        <v>21.300000000000018</v>
      </c>
      <c r="AC355" s="4">
        <f t="shared" si="81"/>
        <v>20.90000000000002</v>
      </c>
      <c r="AD355" s="4">
        <f t="shared" si="81"/>
        <v>20.500000000000021</v>
      </c>
      <c r="AE355" s="4">
        <f t="shared" si="81"/>
        <v>20.100000000000023</v>
      </c>
      <c r="AF355" s="4">
        <f t="shared" si="81"/>
        <v>19.700000000000024</v>
      </c>
      <c r="AG355" s="4">
        <f t="shared" si="81"/>
        <v>19.300000000000026</v>
      </c>
      <c r="AH355" s="4">
        <f t="shared" si="81"/>
        <v>18.900000000000027</v>
      </c>
      <c r="AI355" s="4">
        <f t="shared" si="81"/>
        <v>18.500000000000028</v>
      </c>
      <c r="AJ355" s="4">
        <f t="shared" si="81"/>
        <v>18.10000000000003</v>
      </c>
      <c r="AK355" s="4">
        <f t="shared" si="81"/>
        <v>17.800000000000029</v>
      </c>
    </row>
    <row r="356" spans="3:37" outlineLevel="1" x14ac:dyDescent="0.25">
      <c r="C356" s="38">
        <v>32.700000000000003</v>
      </c>
      <c r="D356" s="4">
        <f t="shared" si="81"/>
        <v>32.200000000000003</v>
      </c>
      <c r="E356" s="4">
        <f t="shared" si="81"/>
        <v>31.700000000000003</v>
      </c>
      <c r="F356" s="4">
        <f t="shared" si="81"/>
        <v>31.200000000000003</v>
      </c>
      <c r="G356" s="4">
        <f t="shared" si="81"/>
        <v>30.700000000000003</v>
      </c>
      <c r="H356" s="4">
        <f t="shared" si="81"/>
        <v>30.200000000000003</v>
      </c>
      <c r="I356" s="4">
        <f t="shared" si="81"/>
        <v>29.700000000000003</v>
      </c>
      <c r="J356" s="4">
        <f t="shared" si="81"/>
        <v>29.200000000000003</v>
      </c>
      <c r="K356" s="4">
        <f t="shared" si="81"/>
        <v>28.700000000000003</v>
      </c>
      <c r="L356" s="4">
        <f t="shared" si="81"/>
        <v>28.200000000000003</v>
      </c>
      <c r="M356" s="4">
        <f t="shared" si="81"/>
        <v>27.700000000000003</v>
      </c>
      <c r="N356" s="4">
        <f t="shared" si="81"/>
        <v>27.200000000000003</v>
      </c>
      <c r="O356" s="4">
        <f t="shared" si="81"/>
        <v>26.700000000000003</v>
      </c>
      <c r="P356" s="4">
        <f t="shared" si="81"/>
        <v>26.200000000000003</v>
      </c>
      <c r="Q356" s="4">
        <f t="shared" si="81"/>
        <v>25.800000000000004</v>
      </c>
      <c r="R356" s="4">
        <f t="shared" si="81"/>
        <v>25.400000000000006</v>
      </c>
      <c r="S356" s="4">
        <f t="shared" si="81"/>
        <v>25.000000000000007</v>
      </c>
      <c r="T356" s="4">
        <f t="shared" si="81"/>
        <v>24.600000000000009</v>
      </c>
      <c r="U356" s="4">
        <f t="shared" si="81"/>
        <v>24.20000000000001</v>
      </c>
      <c r="V356" s="4">
        <f t="shared" si="81"/>
        <v>23.800000000000011</v>
      </c>
      <c r="W356" s="4">
        <f t="shared" si="81"/>
        <v>23.400000000000013</v>
      </c>
      <c r="X356" s="4">
        <f t="shared" si="81"/>
        <v>23.000000000000014</v>
      </c>
      <c r="Y356" s="4">
        <f t="shared" si="81"/>
        <v>22.600000000000016</v>
      </c>
      <c r="Z356" s="4">
        <f t="shared" si="81"/>
        <v>22.200000000000017</v>
      </c>
      <c r="AA356" s="4">
        <f t="shared" si="81"/>
        <v>21.800000000000018</v>
      </c>
      <c r="AB356" s="4">
        <f t="shared" si="81"/>
        <v>21.40000000000002</v>
      </c>
      <c r="AC356" s="4">
        <f t="shared" si="81"/>
        <v>21.000000000000021</v>
      </c>
      <c r="AD356" s="4">
        <f t="shared" si="81"/>
        <v>20.600000000000023</v>
      </c>
      <c r="AE356" s="4">
        <f t="shared" si="81"/>
        <v>20.200000000000024</v>
      </c>
      <c r="AF356" s="4">
        <f t="shared" si="81"/>
        <v>19.800000000000026</v>
      </c>
      <c r="AG356" s="4">
        <f t="shared" si="81"/>
        <v>19.400000000000027</v>
      </c>
      <c r="AH356" s="4">
        <f t="shared" si="81"/>
        <v>19.000000000000028</v>
      </c>
      <c r="AI356" s="4">
        <f t="shared" si="81"/>
        <v>18.60000000000003</v>
      </c>
      <c r="AJ356" s="4">
        <f t="shared" si="81"/>
        <v>18.200000000000031</v>
      </c>
      <c r="AK356" s="4">
        <f t="shared" si="81"/>
        <v>17.900000000000031</v>
      </c>
    </row>
    <row r="357" spans="3:37" outlineLevel="1" x14ac:dyDescent="0.25">
      <c r="C357" s="38">
        <v>32.799999999999997</v>
      </c>
      <c r="D357" s="4">
        <f t="shared" si="81"/>
        <v>32.299999999999997</v>
      </c>
      <c r="E357" s="4">
        <f t="shared" si="81"/>
        <v>31.799999999999997</v>
      </c>
      <c r="F357" s="4">
        <f t="shared" si="81"/>
        <v>31.299999999999997</v>
      </c>
      <c r="G357" s="4">
        <f t="shared" si="81"/>
        <v>30.799999999999997</v>
      </c>
      <c r="H357" s="4">
        <f t="shared" si="81"/>
        <v>30.299999999999997</v>
      </c>
      <c r="I357" s="4">
        <f t="shared" si="81"/>
        <v>29.799999999999997</v>
      </c>
      <c r="J357" s="4">
        <f t="shared" si="81"/>
        <v>29.299999999999997</v>
      </c>
      <c r="K357" s="4">
        <f t="shared" si="81"/>
        <v>28.799999999999997</v>
      </c>
      <c r="L357" s="4">
        <f t="shared" si="81"/>
        <v>28.299999999999997</v>
      </c>
      <c r="M357" s="4">
        <f t="shared" si="81"/>
        <v>27.799999999999997</v>
      </c>
      <c r="N357" s="4">
        <f t="shared" si="81"/>
        <v>27.299999999999997</v>
      </c>
      <c r="O357" s="4">
        <f t="shared" si="81"/>
        <v>26.799999999999997</v>
      </c>
      <c r="P357" s="4">
        <f t="shared" si="81"/>
        <v>26.299999999999997</v>
      </c>
      <c r="Q357" s="4">
        <f t="shared" si="81"/>
        <v>25.9</v>
      </c>
      <c r="R357" s="4">
        <f t="shared" si="81"/>
        <v>25.5</v>
      </c>
      <c r="S357" s="4">
        <f t="shared" si="81"/>
        <v>25.1</v>
      </c>
      <c r="T357" s="4">
        <f t="shared" si="81"/>
        <v>24.700000000000003</v>
      </c>
      <c r="U357" s="4">
        <f t="shared" si="81"/>
        <v>24.300000000000004</v>
      </c>
      <c r="V357" s="4">
        <f t="shared" si="81"/>
        <v>23.900000000000006</v>
      </c>
      <c r="W357" s="4">
        <f t="shared" si="81"/>
        <v>23.500000000000007</v>
      </c>
      <c r="X357" s="4">
        <f t="shared" si="81"/>
        <v>23.100000000000009</v>
      </c>
      <c r="Y357" s="4">
        <f t="shared" si="81"/>
        <v>22.70000000000001</v>
      </c>
      <c r="Z357" s="4">
        <f t="shared" si="81"/>
        <v>22.300000000000011</v>
      </c>
      <c r="AA357" s="4">
        <f t="shared" si="81"/>
        <v>21.900000000000013</v>
      </c>
      <c r="AB357" s="4">
        <f t="shared" si="81"/>
        <v>21.500000000000014</v>
      </c>
      <c r="AC357" s="4">
        <f t="shared" si="81"/>
        <v>21.100000000000016</v>
      </c>
      <c r="AD357" s="4">
        <f t="shared" si="81"/>
        <v>20.700000000000017</v>
      </c>
      <c r="AE357" s="4">
        <f t="shared" si="81"/>
        <v>20.300000000000018</v>
      </c>
      <c r="AF357" s="4">
        <f t="shared" si="81"/>
        <v>19.90000000000002</v>
      </c>
      <c r="AG357" s="4">
        <f t="shared" si="81"/>
        <v>19.500000000000021</v>
      </c>
      <c r="AH357" s="4">
        <f t="shared" si="81"/>
        <v>19.100000000000023</v>
      </c>
      <c r="AI357" s="4">
        <f t="shared" si="81"/>
        <v>18.700000000000024</v>
      </c>
      <c r="AJ357" s="4">
        <f t="shared" si="81"/>
        <v>18.300000000000026</v>
      </c>
      <c r="AK357" s="4">
        <f t="shared" si="81"/>
        <v>18.000000000000025</v>
      </c>
    </row>
    <row r="358" spans="3:37" outlineLevel="1" x14ac:dyDescent="0.25">
      <c r="C358" s="38">
        <v>32.9</v>
      </c>
      <c r="D358" s="4">
        <f t="shared" si="81"/>
        <v>32.4</v>
      </c>
      <c r="E358" s="4">
        <f t="shared" si="81"/>
        <v>31.9</v>
      </c>
      <c r="F358" s="4">
        <f t="shared" si="81"/>
        <v>31.4</v>
      </c>
      <c r="G358" s="4">
        <f t="shared" si="81"/>
        <v>30.9</v>
      </c>
      <c r="H358" s="4">
        <f t="shared" si="81"/>
        <v>30.4</v>
      </c>
      <c r="I358" s="4">
        <f t="shared" si="81"/>
        <v>29.9</v>
      </c>
      <c r="J358" s="4">
        <f t="shared" si="81"/>
        <v>29.4</v>
      </c>
      <c r="K358" s="4">
        <f t="shared" si="81"/>
        <v>28.9</v>
      </c>
      <c r="L358" s="4">
        <f t="shared" si="81"/>
        <v>28.4</v>
      </c>
      <c r="M358" s="4">
        <f t="shared" si="81"/>
        <v>27.9</v>
      </c>
      <c r="N358" s="4">
        <f t="shared" si="81"/>
        <v>27.4</v>
      </c>
      <c r="O358" s="4">
        <f t="shared" si="81"/>
        <v>26.9</v>
      </c>
      <c r="P358" s="4">
        <f t="shared" si="81"/>
        <v>26.4</v>
      </c>
      <c r="Q358" s="4">
        <f t="shared" si="81"/>
        <v>26</v>
      </c>
      <c r="R358" s="4">
        <f t="shared" si="81"/>
        <v>25.6</v>
      </c>
      <c r="S358" s="4">
        <f t="shared" si="81"/>
        <v>25.200000000000003</v>
      </c>
      <c r="T358" s="4">
        <f t="shared" si="81"/>
        <v>24.800000000000004</v>
      </c>
      <c r="U358" s="4">
        <f t="shared" si="81"/>
        <v>24.400000000000006</v>
      </c>
      <c r="V358" s="4">
        <f t="shared" si="81"/>
        <v>24.000000000000007</v>
      </c>
      <c r="W358" s="4">
        <f t="shared" si="81"/>
        <v>23.600000000000009</v>
      </c>
      <c r="X358" s="4">
        <f t="shared" si="81"/>
        <v>23.20000000000001</v>
      </c>
      <c r="Y358" s="4">
        <f t="shared" si="81"/>
        <v>22.800000000000011</v>
      </c>
      <c r="Z358" s="4">
        <f t="shared" si="81"/>
        <v>22.400000000000013</v>
      </c>
      <c r="AA358" s="4">
        <f t="shared" si="81"/>
        <v>22.000000000000014</v>
      </c>
      <c r="AB358" s="4">
        <f t="shared" si="81"/>
        <v>21.600000000000016</v>
      </c>
      <c r="AC358" s="4">
        <f t="shared" si="81"/>
        <v>21.200000000000017</v>
      </c>
      <c r="AD358" s="4">
        <f t="shared" si="81"/>
        <v>20.800000000000018</v>
      </c>
      <c r="AE358" s="4">
        <f t="shared" si="81"/>
        <v>20.40000000000002</v>
      </c>
      <c r="AF358" s="4">
        <f t="shared" si="81"/>
        <v>20.000000000000021</v>
      </c>
      <c r="AG358" s="4">
        <f t="shared" si="81"/>
        <v>19.600000000000023</v>
      </c>
      <c r="AH358" s="4">
        <f t="shared" si="81"/>
        <v>19.200000000000024</v>
      </c>
      <c r="AI358" s="4">
        <f t="shared" si="81"/>
        <v>18.800000000000026</v>
      </c>
      <c r="AJ358" s="4">
        <f t="shared" si="81"/>
        <v>18.400000000000027</v>
      </c>
      <c r="AK358" s="4">
        <f t="shared" si="81"/>
        <v>18.100000000000026</v>
      </c>
    </row>
    <row r="359" spans="3:37" outlineLevel="1" x14ac:dyDescent="0.25">
      <c r="C359" s="38">
        <v>33</v>
      </c>
      <c r="D359" s="4">
        <f t="shared" si="81"/>
        <v>32.5</v>
      </c>
      <c r="E359" s="4">
        <f t="shared" si="81"/>
        <v>32</v>
      </c>
      <c r="F359" s="4">
        <f t="shared" si="81"/>
        <v>31.5</v>
      </c>
      <c r="G359" s="4">
        <f t="shared" si="81"/>
        <v>31</v>
      </c>
      <c r="H359" s="4">
        <f t="shared" si="81"/>
        <v>30.5</v>
      </c>
      <c r="I359" s="4">
        <f t="shared" si="81"/>
        <v>30</v>
      </c>
      <c r="J359" s="4">
        <f t="shared" si="81"/>
        <v>29.5</v>
      </c>
      <c r="K359" s="4">
        <f t="shared" si="81"/>
        <v>29</v>
      </c>
      <c r="L359" s="4">
        <f t="shared" si="81"/>
        <v>28.5</v>
      </c>
      <c r="M359" s="4">
        <f t="shared" si="81"/>
        <v>28</v>
      </c>
      <c r="N359" s="4">
        <f t="shared" si="81"/>
        <v>27.5</v>
      </c>
      <c r="O359" s="4">
        <f t="shared" si="81"/>
        <v>27</v>
      </c>
      <c r="P359" s="4">
        <f t="shared" si="81"/>
        <v>26.5</v>
      </c>
      <c r="Q359" s="4">
        <f t="shared" si="81"/>
        <v>26</v>
      </c>
      <c r="R359" s="4">
        <f t="shared" si="81"/>
        <v>25.6</v>
      </c>
      <c r="S359" s="4">
        <f t="shared" si="81"/>
        <v>25.200000000000003</v>
      </c>
      <c r="T359" s="4">
        <f t="shared" si="81"/>
        <v>24.800000000000004</v>
      </c>
      <c r="U359" s="4">
        <f t="shared" si="81"/>
        <v>24.400000000000006</v>
      </c>
      <c r="V359" s="4">
        <f t="shared" si="81"/>
        <v>24.000000000000007</v>
      </c>
      <c r="W359" s="4">
        <f t="shared" si="81"/>
        <v>23.600000000000009</v>
      </c>
      <c r="X359" s="4">
        <f t="shared" si="81"/>
        <v>23.20000000000001</v>
      </c>
      <c r="Y359" s="4">
        <f t="shared" si="81"/>
        <v>22.800000000000011</v>
      </c>
      <c r="Z359" s="4">
        <f t="shared" si="81"/>
        <v>22.400000000000013</v>
      </c>
      <c r="AA359" s="4">
        <f t="shared" si="81"/>
        <v>22.000000000000014</v>
      </c>
      <c r="AB359" s="4">
        <f t="shared" si="81"/>
        <v>21.600000000000016</v>
      </c>
      <c r="AC359" s="4">
        <f t="shared" si="81"/>
        <v>21.200000000000017</v>
      </c>
      <c r="AD359" s="4">
        <f t="shared" si="81"/>
        <v>20.800000000000018</v>
      </c>
      <c r="AE359" s="4">
        <f t="shared" si="81"/>
        <v>20.40000000000002</v>
      </c>
      <c r="AF359" s="4">
        <f t="shared" si="81"/>
        <v>20.000000000000021</v>
      </c>
      <c r="AG359" s="4">
        <f t="shared" si="81"/>
        <v>19.600000000000023</v>
      </c>
      <c r="AH359" s="4">
        <f t="shared" si="81"/>
        <v>19.200000000000024</v>
      </c>
      <c r="AI359" s="4">
        <f t="shared" si="81"/>
        <v>18.800000000000026</v>
      </c>
      <c r="AJ359" s="4">
        <f t="shared" si="81"/>
        <v>18.400000000000027</v>
      </c>
      <c r="AK359" s="4">
        <f t="shared" si="81"/>
        <v>18.100000000000026</v>
      </c>
    </row>
    <row r="360" spans="3:37" outlineLevel="1" x14ac:dyDescent="0.25">
      <c r="C360" s="38">
        <v>33.1</v>
      </c>
      <c r="D360" s="4">
        <f t="shared" si="81"/>
        <v>32.6</v>
      </c>
      <c r="E360" s="4">
        <f t="shared" si="81"/>
        <v>32.1</v>
      </c>
      <c r="F360" s="4">
        <f t="shared" si="81"/>
        <v>31.6</v>
      </c>
      <c r="G360" s="4">
        <f t="shared" si="81"/>
        <v>31.1</v>
      </c>
      <c r="H360" s="4">
        <f t="shared" si="81"/>
        <v>30.6</v>
      </c>
      <c r="I360" s="4">
        <f t="shared" si="81"/>
        <v>30.1</v>
      </c>
      <c r="J360" s="4">
        <f t="shared" si="81"/>
        <v>29.6</v>
      </c>
      <c r="K360" s="4">
        <f t="shared" si="81"/>
        <v>29.1</v>
      </c>
      <c r="L360" s="4">
        <f t="shared" si="81"/>
        <v>28.6</v>
      </c>
      <c r="M360" s="4">
        <f t="shared" si="81"/>
        <v>28.1</v>
      </c>
      <c r="N360" s="4">
        <f t="shared" si="81"/>
        <v>27.6</v>
      </c>
      <c r="O360" s="4">
        <f t="shared" si="81"/>
        <v>27.1</v>
      </c>
      <c r="P360" s="4">
        <f t="shared" si="81"/>
        <v>26.6</v>
      </c>
      <c r="Q360" s="4">
        <f t="shared" si="81"/>
        <v>26.1</v>
      </c>
      <c r="R360" s="4">
        <f t="shared" si="81"/>
        <v>25.700000000000003</v>
      </c>
      <c r="S360" s="4">
        <f t="shared" si="81"/>
        <v>25.300000000000004</v>
      </c>
      <c r="T360" s="4">
        <f t="shared" si="81"/>
        <v>24.900000000000006</v>
      </c>
      <c r="U360" s="4">
        <f t="shared" ref="U360:AK360" si="82">(IF(T360&lt;=4.4,T360-$E$6,IF(AND(T360&gt;=4.5,T360&lt;=11.4),T360-$E$7,IF(AND(T360&gt;=11.5,T360&lt;=18.4),T360-$E$8,IF(AND(T360&gt;=18.5,T360&lt;=26.4),T360-$E$9,IF(AND(T360&gt;=26.4,T360&lt;=36),T360-$E$10,IF(T360&gt;=37,T360-$E$11)))))))</f>
        <v>24.500000000000007</v>
      </c>
      <c r="V360" s="4">
        <f t="shared" si="82"/>
        <v>24.100000000000009</v>
      </c>
      <c r="W360" s="4">
        <f t="shared" si="82"/>
        <v>23.70000000000001</v>
      </c>
      <c r="X360" s="4">
        <f t="shared" si="82"/>
        <v>23.300000000000011</v>
      </c>
      <c r="Y360" s="4">
        <f t="shared" si="82"/>
        <v>22.900000000000013</v>
      </c>
      <c r="Z360" s="4">
        <f t="shared" si="82"/>
        <v>22.500000000000014</v>
      </c>
      <c r="AA360" s="4">
        <f t="shared" si="82"/>
        <v>22.100000000000016</v>
      </c>
      <c r="AB360" s="4">
        <f t="shared" si="82"/>
        <v>21.700000000000017</v>
      </c>
      <c r="AC360" s="4">
        <f t="shared" si="82"/>
        <v>21.300000000000018</v>
      </c>
      <c r="AD360" s="4">
        <f t="shared" si="82"/>
        <v>20.90000000000002</v>
      </c>
      <c r="AE360" s="4">
        <f t="shared" si="82"/>
        <v>20.500000000000021</v>
      </c>
      <c r="AF360" s="4">
        <f t="shared" si="82"/>
        <v>20.100000000000023</v>
      </c>
      <c r="AG360" s="4">
        <f t="shared" si="82"/>
        <v>19.700000000000024</v>
      </c>
      <c r="AH360" s="4">
        <f t="shared" si="82"/>
        <v>19.300000000000026</v>
      </c>
      <c r="AI360" s="4">
        <f t="shared" si="82"/>
        <v>18.900000000000027</v>
      </c>
      <c r="AJ360" s="4">
        <f t="shared" si="82"/>
        <v>18.500000000000028</v>
      </c>
      <c r="AK360" s="4">
        <f t="shared" si="82"/>
        <v>18.10000000000003</v>
      </c>
    </row>
    <row r="361" spans="3:37" outlineLevel="1" x14ac:dyDescent="0.25">
      <c r="C361" s="38">
        <v>33.200000000000003</v>
      </c>
      <c r="D361" s="4">
        <f t="shared" ref="D361:AK368" si="83">(IF(C361&lt;=4.4,C361-$E$6,IF(AND(C361&gt;=4.5,C361&lt;=11.4),C361-$E$7,IF(AND(C361&gt;=11.5,C361&lt;=18.4),C361-$E$8,IF(AND(C361&gt;=18.5,C361&lt;=26.4),C361-$E$9,IF(AND(C361&gt;=26.4,C361&lt;=36),C361-$E$10,IF(C361&gt;=37,C361-$E$11)))))))</f>
        <v>32.700000000000003</v>
      </c>
      <c r="E361" s="4">
        <f t="shared" si="83"/>
        <v>32.200000000000003</v>
      </c>
      <c r="F361" s="4">
        <f t="shared" si="83"/>
        <v>31.700000000000003</v>
      </c>
      <c r="G361" s="4">
        <f t="shared" si="83"/>
        <v>31.200000000000003</v>
      </c>
      <c r="H361" s="4">
        <f t="shared" si="83"/>
        <v>30.700000000000003</v>
      </c>
      <c r="I361" s="4">
        <f t="shared" si="83"/>
        <v>30.200000000000003</v>
      </c>
      <c r="J361" s="4">
        <f t="shared" si="83"/>
        <v>29.700000000000003</v>
      </c>
      <c r="K361" s="4">
        <f t="shared" si="83"/>
        <v>29.200000000000003</v>
      </c>
      <c r="L361" s="4">
        <f t="shared" si="83"/>
        <v>28.700000000000003</v>
      </c>
      <c r="M361" s="4">
        <f t="shared" si="83"/>
        <v>28.200000000000003</v>
      </c>
      <c r="N361" s="4">
        <f t="shared" si="83"/>
        <v>27.700000000000003</v>
      </c>
      <c r="O361" s="4">
        <f t="shared" si="83"/>
        <v>27.200000000000003</v>
      </c>
      <c r="P361" s="4">
        <f t="shared" si="83"/>
        <v>26.700000000000003</v>
      </c>
      <c r="Q361" s="4">
        <f t="shared" si="83"/>
        <v>26.200000000000003</v>
      </c>
      <c r="R361" s="4">
        <f t="shared" si="83"/>
        <v>25.800000000000004</v>
      </c>
      <c r="S361" s="4">
        <f t="shared" si="83"/>
        <v>25.400000000000006</v>
      </c>
      <c r="T361" s="4">
        <f t="shared" si="83"/>
        <v>25.000000000000007</v>
      </c>
      <c r="U361" s="4">
        <f t="shared" si="83"/>
        <v>24.600000000000009</v>
      </c>
      <c r="V361" s="4">
        <f t="shared" si="83"/>
        <v>24.20000000000001</v>
      </c>
      <c r="W361" s="4">
        <f t="shared" si="83"/>
        <v>23.800000000000011</v>
      </c>
      <c r="X361" s="4">
        <f t="shared" si="83"/>
        <v>23.400000000000013</v>
      </c>
      <c r="Y361" s="4">
        <f t="shared" si="83"/>
        <v>23.000000000000014</v>
      </c>
      <c r="Z361" s="4">
        <f t="shared" si="83"/>
        <v>22.600000000000016</v>
      </c>
      <c r="AA361" s="4">
        <f t="shared" si="83"/>
        <v>22.200000000000017</v>
      </c>
      <c r="AB361" s="4">
        <f t="shared" si="83"/>
        <v>21.800000000000018</v>
      </c>
      <c r="AC361" s="4">
        <f t="shared" si="83"/>
        <v>21.40000000000002</v>
      </c>
      <c r="AD361" s="4">
        <f t="shared" si="83"/>
        <v>21.000000000000021</v>
      </c>
      <c r="AE361" s="4">
        <f t="shared" si="83"/>
        <v>20.600000000000023</v>
      </c>
      <c r="AF361" s="4">
        <f t="shared" si="83"/>
        <v>20.200000000000024</v>
      </c>
      <c r="AG361" s="4">
        <f t="shared" si="83"/>
        <v>19.800000000000026</v>
      </c>
      <c r="AH361" s="4">
        <f t="shared" si="83"/>
        <v>19.400000000000027</v>
      </c>
      <c r="AI361" s="4">
        <f t="shared" si="83"/>
        <v>19.000000000000028</v>
      </c>
      <c r="AJ361" s="4">
        <f t="shared" si="83"/>
        <v>18.60000000000003</v>
      </c>
      <c r="AK361" s="4">
        <f t="shared" si="83"/>
        <v>18.200000000000031</v>
      </c>
    </row>
    <row r="362" spans="3:37" outlineLevel="1" x14ac:dyDescent="0.25">
      <c r="C362" s="38">
        <v>33.299999999999997</v>
      </c>
      <c r="D362" s="4">
        <f t="shared" si="83"/>
        <v>32.799999999999997</v>
      </c>
      <c r="E362" s="4">
        <f t="shared" si="83"/>
        <v>32.299999999999997</v>
      </c>
      <c r="F362" s="4">
        <f t="shared" si="83"/>
        <v>31.799999999999997</v>
      </c>
      <c r="G362" s="4">
        <f t="shared" si="83"/>
        <v>31.299999999999997</v>
      </c>
      <c r="H362" s="4">
        <f t="shared" si="83"/>
        <v>30.799999999999997</v>
      </c>
      <c r="I362" s="4">
        <f t="shared" si="83"/>
        <v>30.299999999999997</v>
      </c>
      <c r="J362" s="4">
        <f t="shared" si="83"/>
        <v>29.799999999999997</v>
      </c>
      <c r="K362" s="4">
        <f t="shared" si="83"/>
        <v>29.299999999999997</v>
      </c>
      <c r="L362" s="4">
        <f t="shared" si="83"/>
        <v>28.799999999999997</v>
      </c>
      <c r="M362" s="4">
        <f t="shared" si="83"/>
        <v>28.299999999999997</v>
      </c>
      <c r="N362" s="4">
        <f t="shared" si="83"/>
        <v>27.799999999999997</v>
      </c>
      <c r="O362" s="4">
        <f t="shared" si="83"/>
        <v>27.299999999999997</v>
      </c>
      <c r="P362" s="4">
        <f t="shared" si="83"/>
        <v>26.799999999999997</v>
      </c>
      <c r="Q362" s="4">
        <f t="shared" si="83"/>
        <v>26.299999999999997</v>
      </c>
      <c r="R362" s="4">
        <f t="shared" si="83"/>
        <v>25.9</v>
      </c>
      <c r="S362" s="4">
        <f t="shared" si="83"/>
        <v>25.5</v>
      </c>
      <c r="T362" s="4">
        <f t="shared" si="83"/>
        <v>25.1</v>
      </c>
      <c r="U362" s="4">
        <f t="shared" si="83"/>
        <v>24.700000000000003</v>
      </c>
      <c r="V362" s="4">
        <f t="shared" si="83"/>
        <v>24.300000000000004</v>
      </c>
      <c r="W362" s="4">
        <f t="shared" si="83"/>
        <v>23.900000000000006</v>
      </c>
      <c r="X362" s="4">
        <f t="shared" si="83"/>
        <v>23.500000000000007</v>
      </c>
      <c r="Y362" s="4">
        <f t="shared" si="83"/>
        <v>23.100000000000009</v>
      </c>
      <c r="Z362" s="4">
        <f t="shared" si="83"/>
        <v>22.70000000000001</v>
      </c>
      <c r="AA362" s="4">
        <f t="shared" si="83"/>
        <v>22.300000000000011</v>
      </c>
      <c r="AB362" s="4">
        <f t="shared" si="83"/>
        <v>21.900000000000013</v>
      </c>
      <c r="AC362" s="4">
        <f t="shared" si="83"/>
        <v>21.500000000000014</v>
      </c>
      <c r="AD362" s="4">
        <f t="shared" si="83"/>
        <v>21.100000000000016</v>
      </c>
      <c r="AE362" s="4">
        <f t="shared" si="83"/>
        <v>20.700000000000017</v>
      </c>
      <c r="AF362" s="4">
        <f t="shared" si="83"/>
        <v>20.300000000000018</v>
      </c>
      <c r="AG362" s="4">
        <f t="shared" si="83"/>
        <v>19.90000000000002</v>
      </c>
      <c r="AH362" s="4">
        <f t="shared" si="83"/>
        <v>19.500000000000021</v>
      </c>
      <c r="AI362" s="4">
        <f t="shared" si="83"/>
        <v>19.100000000000023</v>
      </c>
      <c r="AJ362" s="4">
        <f t="shared" si="83"/>
        <v>18.700000000000024</v>
      </c>
      <c r="AK362" s="4">
        <f t="shared" si="83"/>
        <v>18.300000000000026</v>
      </c>
    </row>
    <row r="363" spans="3:37" outlineLevel="1" x14ac:dyDescent="0.25">
      <c r="C363" s="38">
        <v>33.4</v>
      </c>
      <c r="D363" s="4">
        <f t="shared" si="83"/>
        <v>32.9</v>
      </c>
      <c r="E363" s="4">
        <f t="shared" si="83"/>
        <v>32.4</v>
      </c>
      <c r="F363" s="4">
        <f t="shared" si="83"/>
        <v>31.9</v>
      </c>
      <c r="G363" s="4">
        <f t="shared" si="83"/>
        <v>31.4</v>
      </c>
      <c r="H363" s="4">
        <f t="shared" si="83"/>
        <v>30.9</v>
      </c>
      <c r="I363" s="4">
        <f t="shared" si="83"/>
        <v>30.4</v>
      </c>
      <c r="J363" s="4">
        <f t="shared" si="83"/>
        <v>29.9</v>
      </c>
      <c r="K363" s="4">
        <f t="shared" si="83"/>
        <v>29.4</v>
      </c>
      <c r="L363" s="4">
        <f t="shared" si="83"/>
        <v>28.9</v>
      </c>
      <c r="M363" s="4">
        <f t="shared" si="83"/>
        <v>28.4</v>
      </c>
      <c r="N363" s="4">
        <f t="shared" si="83"/>
        <v>27.9</v>
      </c>
      <c r="O363" s="4">
        <f t="shared" si="83"/>
        <v>27.4</v>
      </c>
      <c r="P363" s="4">
        <f t="shared" si="83"/>
        <v>26.9</v>
      </c>
      <c r="Q363" s="4">
        <f t="shared" si="83"/>
        <v>26.4</v>
      </c>
      <c r="R363" s="4">
        <f t="shared" si="83"/>
        <v>26</v>
      </c>
      <c r="S363" s="4">
        <f t="shared" si="83"/>
        <v>25.6</v>
      </c>
      <c r="T363" s="4">
        <f t="shared" si="83"/>
        <v>25.200000000000003</v>
      </c>
      <c r="U363" s="4">
        <f t="shared" si="83"/>
        <v>24.800000000000004</v>
      </c>
      <c r="V363" s="4">
        <f t="shared" si="83"/>
        <v>24.400000000000006</v>
      </c>
      <c r="W363" s="4">
        <f t="shared" si="83"/>
        <v>24.000000000000007</v>
      </c>
      <c r="X363" s="4">
        <f t="shared" si="83"/>
        <v>23.600000000000009</v>
      </c>
      <c r="Y363" s="4">
        <f t="shared" si="83"/>
        <v>23.20000000000001</v>
      </c>
      <c r="Z363" s="4">
        <f t="shared" si="83"/>
        <v>22.800000000000011</v>
      </c>
      <c r="AA363" s="4">
        <f t="shared" si="83"/>
        <v>22.400000000000013</v>
      </c>
      <c r="AB363" s="4">
        <f t="shared" si="83"/>
        <v>22.000000000000014</v>
      </c>
      <c r="AC363" s="4">
        <f t="shared" si="83"/>
        <v>21.600000000000016</v>
      </c>
      <c r="AD363" s="4">
        <f t="shared" si="83"/>
        <v>21.200000000000017</v>
      </c>
      <c r="AE363" s="4">
        <f t="shared" si="83"/>
        <v>20.800000000000018</v>
      </c>
      <c r="AF363" s="4">
        <f t="shared" si="83"/>
        <v>20.40000000000002</v>
      </c>
      <c r="AG363" s="4">
        <f t="shared" si="83"/>
        <v>20.000000000000021</v>
      </c>
      <c r="AH363" s="4">
        <f t="shared" si="83"/>
        <v>19.600000000000023</v>
      </c>
      <c r="AI363" s="4">
        <f t="shared" si="83"/>
        <v>19.200000000000024</v>
      </c>
      <c r="AJ363" s="4">
        <f t="shared" si="83"/>
        <v>18.800000000000026</v>
      </c>
      <c r="AK363" s="4">
        <f t="shared" si="83"/>
        <v>18.400000000000027</v>
      </c>
    </row>
    <row r="364" spans="3:37" outlineLevel="1" x14ac:dyDescent="0.25">
      <c r="C364" s="38">
        <v>33.5</v>
      </c>
      <c r="D364" s="4">
        <f t="shared" si="83"/>
        <v>33</v>
      </c>
      <c r="E364" s="4">
        <f t="shared" si="83"/>
        <v>32.5</v>
      </c>
      <c r="F364" s="4">
        <f t="shared" si="83"/>
        <v>32</v>
      </c>
      <c r="G364" s="4">
        <f t="shared" si="83"/>
        <v>31.5</v>
      </c>
      <c r="H364" s="4">
        <f t="shared" si="83"/>
        <v>31</v>
      </c>
      <c r="I364" s="4">
        <f t="shared" si="83"/>
        <v>30.5</v>
      </c>
      <c r="J364" s="4">
        <f t="shared" si="83"/>
        <v>30</v>
      </c>
      <c r="K364" s="4">
        <f t="shared" si="83"/>
        <v>29.5</v>
      </c>
      <c r="L364" s="4">
        <f t="shared" si="83"/>
        <v>29</v>
      </c>
      <c r="M364" s="4">
        <f t="shared" si="83"/>
        <v>28.5</v>
      </c>
      <c r="N364" s="4">
        <f t="shared" si="83"/>
        <v>28</v>
      </c>
      <c r="O364" s="4">
        <f t="shared" si="83"/>
        <v>27.5</v>
      </c>
      <c r="P364" s="4">
        <f t="shared" si="83"/>
        <v>27</v>
      </c>
      <c r="Q364" s="4">
        <f t="shared" si="83"/>
        <v>26.5</v>
      </c>
      <c r="R364" s="4">
        <f t="shared" si="83"/>
        <v>26</v>
      </c>
      <c r="S364" s="4">
        <f t="shared" si="83"/>
        <v>25.6</v>
      </c>
      <c r="T364" s="4">
        <f t="shared" si="83"/>
        <v>25.200000000000003</v>
      </c>
      <c r="U364" s="4">
        <f t="shared" si="83"/>
        <v>24.800000000000004</v>
      </c>
      <c r="V364" s="4">
        <f t="shared" si="83"/>
        <v>24.400000000000006</v>
      </c>
      <c r="W364" s="4">
        <f t="shared" si="83"/>
        <v>24.000000000000007</v>
      </c>
      <c r="X364" s="4">
        <f t="shared" si="83"/>
        <v>23.600000000000009</v>
      </c>
      <c r="Y364" s="4">
        <f t="shared" si="83"/>
        <v>23.20000000000001</v>
      </c>
      <c r="Z364" s="4">
        <f t="shared" si="83"/>
        <v>22.800000000000011</v>
      </c>
      <c r="AA364" s="4">
        <f t="shared" si="83"/>
        <v>22.400000000000013</v>
      </c>
      <c r="AB364" s="4">
        <f t="shared" si="83"/>
        <v>22.000000000000014</v>
      </c>
      <c r="AC364" s="4">
        <f t="shared" si="83"/>
        <v>21.600000000000016</v>
      </c>
      <c r="AD364" s="4">
        <f t="shared" si="83"/>
        <v>21.200000000000017</v>
      </c>
      <c r="AE364" s="4">
        <f t="shared" si="83"/>
        <v>20.800000000000018</v>
      </c>
      <c r="AF364" s="4">
        <f t="shared" si="83"/>
        <v>20.40000000000002</v>
      </c>
      <c r="AG364" s="4">
        <f t="shared" si="83"/>
        <v>20.000000000000021</v>
      </c>
      <c r="AH364" s="4">
        <f t="shared" si="83"/>
        <v>19.600000000000023</v>
      </c>
      <c r="AI364" s="4">
        <f t="shared" si="83"/>
        <v>19.200000000000024</v>
      </c>
      <c r="AJ364" s="4">
        <f t="shared" si="83"/>
        <v>18.800000000000026</v>
      </c>
      <c r="AK364" s="4">
        <f t="shared" si="83"/>
        <v>18.400000000000027</v>
      </c>
    </row>
    <row r="365" spans="3:37" outlineLevel="1" x14ac:dyDescent="0.25">
      <c r="C365" s="38">
        <v>33.6</v>
      </c>
      <c r="D365" s="4">
        <f t="shared" si="83"/>
        <v>33.1</v>
      </c>
      <c r="E365" s="4">
        <f t="shared" si="83"/>
        <v>32.6</v>
      </c>
      <c r="F365" s="4">
        <f t="shared" si="83"/>
        <v>32.1</v>
      </c>
      <c r="G365" s="4">
        <f t="shared" si="83"/>
        <v>31.6</v>
      </c>
      <c r="H365" s="4">
        <f t="shared" si="83"/>
        <v>31.1</v>
      </c>
      <c r="I365" s="4">
        <f t="shared" si="83"/>
        <v>30.6</v>
      </c>
      <c r="J365" s="4">
        <f t="shared" si="83"/>
        <v>30.1</v>
      </c>
      <c r="K365" s="4">
        <f t="shared" si="83"/>
        <v>29.6</v>
      </c>
      <c r="L365" s="4">
        <f t="shared" si="83"/>
        <v>29.1</v>
      </c>
      <c r="M365" s="4">
        <f t="shared" si="83"/>
        <v>28.6</v>
      </c>
      <c r="N365" s="4">
        <f t="shared" si="83"/>
        <v>28.1</v>
      </c>
      <c r="O365" s="4">
        <f t="shared" si="83"/>
        <v>27.6</v>
      </c>
      <c r="P365" s="4">
        <f t="shared" si="83"/>
        <v>27.1</v>
      </c>
      <c r="Q365" s="4">
        <f t="shared" si="83"/>
        <v>26.6</v>
      </c>
      <c r="R365" s="4">
        <f t="shared" si="83"/>
        <v>26.1</v>
      </c>
      <c r="S365" s="4">
        <f t="shared" si="83"/>
        <v>25.700000000000003</v>
      </c>
      <c r="T365" s="4">
        <f t="shared" si="83"/>
        <v>25.300000000000004</v>
      </c>
      <c r="U365" s="4">
        <f t="shared" si="83"/>
        <v>24.900000000000006</v>
      </c>
      <c r="V365" s="4">
        <f t="shared" si="83"/>
        <v>24.500000000000007</v>
      </c>
      <c r="W365" s="4">
        <f t="shared" si="83"/>
        <v>24.100000000000009</v>
      </c>
      <c r="X365" s="4">
        <f t="shared" si="83"/>
        <v>23.70000000000001</v>
      </c>
      <c r="Y365" s="4">
        <f t="shared" si="83"/>
        <v>23.300000000000011</v>
      </c>
      <c r="Z365" s="4">
        <f t="shared" si="83"/>
        <v>22.900000000000013</v>
      </c>
      <c r="AA365" s="4">
        <f t="shared" si="83"/>
        <v>22.500000000000014</v>
      </c>
      <c r="AB365" s="4">
        <f t="shared" si="83"/>
        <v>22.100000000000016</v>
      </c>
      <c r="AC365" s="4">
        <f t="shared" si="83"/>
        <v>21.700000000000017</v>
      </c>
      <c r="AD365" s="4">
        <f t="shared" si="83"/>
        <v>21.300000000000018</v>
      </c>
      <c r="AE365" s="4">
        <f t="shared" si="83"/>
        <v>20.90000000000002</v>
      </c>
      <c r="AF365" s="4">
        <f t="shared" si="83"/>
        <v>20.500000000000021</v>
      </c>
      <c r="AG365" s="4">
        <f t="shared" si="83"/>
        <v>20.100000000000023</v>
      </c>
      <c r="AH365" s="4">
        <f t="shared" si="83"/>
        <v>19.700000000000024</v>
      </c>
      <c r="AI365" s="4">
        <f t="shared" si="83"/>
        <v>19.300000000000026</v>
      </c>
      <c r="AJ365" s="4">
        <f t="shared" si="83"/>
        <v>18.900000000000027</v>
      </c>
      <c r="AK365" s="4">
        <f t="shared" si="83"/>
        <v>18.500000000000028</v>
      </c>
    </row>
    <row r="366" spans="3:37" outlineLevel="1" x14ac:dyDescent="0.25">
      <c r="C366" s="38">
        <v>33.700000000000003</v>
      </c>
      <c r="D366" s="4">
        <f t="shared" si="83"/>
        <v>33.200000000000003</v>
      </c>
      <c r="E366" s="4">
        <f t="shared" si="83"/>
        <v>32.700000000000003</v>
      </c>
      <c r="F366" s="4">
        <f t="shared" si="83"/>
        <v>32.200000000000003</v>
      </c>
      <c r="G366" s="4">
        <f t="shared" si="83"/>
        <v>31.700000000000003</v>
      </c>
      <c r="H366" s="4">
        <f t="shared" si="83"/>
        <v>31.200000000000003</v>
      </c>
      <c r="I366" s="4">
        <f t="shared" si="83"/>
        <v>30.700000000000003</v>
      </c>
      <c r="J366" s="4">
        <f t="shared" si="83"/>
        <v>30.200000000000003</v>
      </c>
      <c r="K366" s="4">
        <f t="shared" si="83"/>
        <v>29.700000000000003</v>
      </c>
      <c r="L366" s="4">
        <f t="shared" si="83"/>
        <v>29.200000000000003</v>
      </c>
      <c r="M366" s="4">
        <f t="shared" si="83"/>
        <v>28.700000000000003</v>
      </c>
      <c r="N366" s="4">
        <f t="shared" si="83"/>
        <v>28.200000000000003</v>
      </c>
      <c r="O366" s="4">
        <f t="shared" si="83"/>
        <v>27.700000000000003</v>
      </c>
      <c r="P366" s="4">
        <f t="shared" si="83"/>
        <v>27.200000000000003</v>
      </c>
      <c r="Q366" s="4">
        <f t="shared" si="83"/>
        <v>26.700000000000003</v>
      </c>
      <c r="R366" s="4">
        <f t="shared" si="83"/>
        <v>26.200000000000003</v>
      </c>
      <c r="S366" s="4">
        <f t="shared" si="83"/>
        <v>25.800000000000004</v>
      </c>
      <c r="T366" s="4">
        <f t="shared" si="83"/>
        <v>25.400000000000006</v>
      </c>
      <c r="U366" s="4">
        <f t="shared" si="83"/>
        <v>25.000000000000007</v>
      </c>
      <c r="V366" s="4">
        <f t="shared" si="83"/>
        <v>24.600000000000009</v>
      </c>
      <c r="W366" s="4">
        <f t="shared" si="83"/>
        <v>24.20000000000001</v>
      </c>
      <c r="X366" s="4">
        <f t="shared" si="83"/>
        <v>23.800000000000011</v>
      </c>
      <c r="Y366" s="4">
        <f t="shared" si="83"/>
        <v>23.400000000000013</v>
      </c>
      <c r="Z366" s="4">
        <f t="shared" si="83"/>
        <v>23.000000000000014</v>
      </c>
      <c r="AA366" s="4">
        <f t="shared" si="83"/>
        <v>22.600000000000016</v>
      </c>
      <c r="AB366" s="4">
        <f t="shared" si="83"/>
        <v>22.200000000000017</v>
      </c>
      <c r="AC366" s="4">
        <f t="shared" si="83"/>
        <v>21.800000000000018</v>
      </c>
      <c r="AD366" s="4">
        <f t="shared" si="83"/>
        <v>21.40000000000002</v>
      </c>
      <c r="AE366" s="4">
        <f t="shared" si="83"/>
        <v>21.000000000000021</v>
      </c>
      <c r="AF366" s="4">
        <f t="shared" si="83"/>
        <v>20.600000000000023</v>
      </c>
      <c r="AG366" s="4">
        <f t="shared" si="83"/>
        <v>20.200000000000024</v>
      </c>
      <c r="AH366" s="4">
        <f t="shared" si="83"/>
        <v>19.800000000000026</v>
      </c>
      <c r="AI366" s="4">
        <f t="shared" si="83"/>
        <v>19.400000000000027</v>
      </c>
      <c r="AJ366" s="4">
        <f t="shared" si="83"/>
        <v>19.000000000000028</v>
      </c>
      <c r="AK366" s="4">
        <f t="shared" si="83"/>
        <v>18.60000000000003</v>
      </c>
    </row>
    <row r="367" spans="3:37" outlineLevel="1" x14ac:dyDescent="0.25">
      <c r="C367" s="38">
        <v>33.799999999999997</v>
      </c>
      <c r="D367" s="4">
        <f t="shared" si="83"/>
        <v>33.299999999999997</v>
      </c>
      <c r="E367" s="4">
        <f t="shared" si="83"/>
        <v>32.799999999999997</v>
      </c>
      <c r="F367" s="4">
        <f t="shared" si="83"/>
        <v>32.299999999999997</v>
      </c>
      <c r="G367" s="4">
        <f t="shared" si="83"/>
        <v>31.799999999999997</v>
      </c>
      <c r="H367" s="4">
        <f t="shared" si="83"/>
        <v>31.299999999999997</v>
      </c>
      <c r="I367" s="4">
        <f t="shared" si="83"/>
        <v>30.799999999999997</v>
      </c>
      <c r="J367" s="4">
        <f t="shared" si="83"/>
        <v>30.299999999999997</v>
      </c>
      <c r="K367" s="4">
        <f t="shared" si="83"/>
        <v>29.799999999999997</v>
      </c>
      <c r="L367" s="4">
        <f t="shared" si="83"/>
        <v>29.299999999999997</v>
      </c>
      <c r="M367" s="4">
        <f t="shared" si="83"/>
        <v>28.799999999999997</v>
      </c>
      <c r="N367" s="4">
        <f t="shared" si="83"/>
        <v>28.299999999999997</v>
      </c>
      <c r="O367" s="4">
        <f t="shared" si="83"/>
        <v>27.799999999999997</v>
      </c>
      <c r="P367" s="4">
        <f t="shared" si="83"/>
        <v>27.299999999999997</v>
      </c>
      <c r="Q367" s="4">
        <f t="shared" si="83"/>
        <v>26.799999999999997</v>
      </c>
      <c r="R367" s="4">
        <f t="shared" si="83"/>
        <v>26.299999999999997</v>
      </c>
      <c r="S367" s="4">
        <f t="shared" si="83"/>
        <v>25.9</v>
      </c>
      <c r="T367" s="4">
        <f t="shared" si="83"/>
        <v>25.5</v>
      </c>
      <c r="U367" s="4">
        <f t="shared" si="83"/>
        <v>25.1</v>
      </c>
      <c r="V367" s="4">
        <f t="shared" si="83"/>
        <v>24.700000000000003</v>
      </c>
      <c r="W367" s="4">
        <f t="shared" si="83"/>
        <v>24.300000000000004</v>
      </c>
      <c r="X367" s="4">
        <f t="shared" si="83"/>
        <v>23.900000000000006</v>
      </c>
      <c r="Y367" s="4">
        <f t="shared" si="83"/>
        <v>23.500000000000007</v>
      </c>
      <c r="Z367" s="4">
        <f t="shared" si="83"/>
        <v>23.100000000000009</v>
      </c>
      <c r="AA367" s="4">
        <f t="shared" si="83"/>
        <v>22.70000000000001</v>
      </c>
      <c r="AB367" s="4">
        <f t="shared" si="83"/>
        <v>22.300000000000011</v>
      </c>
      <c r="AC367" s="4">
        <f t="shared" si="83"/>
        <v>21.900000000000013</v>
      </c>
      <c r="AD367" s="4">
        <f t="shared" si="83"/>
        <v>21.500000000000014</v>
      </c>
      <c r="AE367" s="4">
        <f t="shared" si="83"/>
        <v>21.100000000000016</v>
      </c>
      <c r="AF367" s="4">
        <f t="shared" si="83"/>
        <v>20.700000000000017</v>
      </c>
      <c r="AG367" s="4">
        <f t="shared" si="83"/>
        <v>20.300000000000018</v>
      </c>
      <c r="AH367" s="4">
        <f t="shared" si="83"/>
        <v>19.90000000000002</v>
      </c>
      <c r="AI367" s="4">
        <f t="shared" si="83"/>
        <v>19.500000000000021</v>
      </c>
      <c r="AJ367" s="4">
        <f t="shared" si="83"/>
        <v>19.100000000000023</v>
      </c>
      <c r="AK367" s="4">
        <f t="shared" si="83"/>
        <v>18.700000000000024</v>
      </c>
    </row>
    <row r="368" spans="3:37" outlineLevel="1" x14ac:dyDescent="0.25">
      <c r="C368" s="38">
        <v>33.9</v>
      </c>
      <c r="D368" s="4">
        <f t="shared" si="83"/>
        <v>33.4</v>
      </c>
      <c r="E368" s="4">
        <f t="shared" si="83"/>
        <v>32.9</v>
      </c>
      <c r="F368" s="4">
        <f t="shared" si="83"/>
        <v>32.4</v>
      </c>
      <c r="G368" s="4">
        <f t="shared" si="83"/>
        <v>31.9</v>
      </c>
      <c r="H368" s="4">
        <f t="shared" si="83"/>
        <v>31.4</v>
      </c>
      <c r="I368" s="4">
        <f t="shared" si="83"/>
        <v>30.9</v>
      </c>
      <c r="J368" s="4">
        <f t="shared" si="83"/>
        <v>30.4</v>
      </c>
      <c r="K368" s="4">
        <f t="shared" si="83"/>
        <v>29.9</v>
      </c>
      <c r="L368" s="4">
        <f t="shared" si="83"/>
        <v>29.4</v>
      </c>
      <c r="M368" s="4">
        <f t="shared" si="83"/>
        <v>28.9</v>
      </c>
      <c r="N368" s="4">
        <f t="shared" si="83"/>
        <v>28.4</v>
      </c>
      <c r="O368" s="4">
        <f t="shared" si="83"/>
        <v>27.9</v>
      </c>
      <c r="P368" s="4">
        <f t="shared" si="83"/>
        <v>27.4</v>
      </c>
      <c r="Q368" s="4">
        <f t="shared" si="83"/>
        <v>26.9</v>
      </c>
      <c r="R368" s="4">
        <f t="shared" si="83"/>
        <v>26.4</v>
      </c>
      <c r="S368" s="4">
        <f t="shared" si="83"/>
        <v>26</v>
      </c>
      <c r="T368" s="4">
        <f t="shared" si="83"/>
        <v>25.6</v>
      </c>
      <c r="U368" s="4">
        <f t="shared" ref="U368:AK368" si="84">(IF(T368&lt;=4.4,T368-$E$6,IF(AND(T368&gt;=4.5,T368&lt;=11.4),T368-$E$7,IF(AND(T368&gt;=11.5,T368&lt;=18.4),T368-$E$8,IF(AND(T368&gt;=18.5,T368&lt;=26.4),T368-$E$9,IF(AND(T368&gt;=26.4,T368&lt;=36),T368-$E$10,IF(T368&gt;=37,T368-$E$11)))))))</f>
        <v>25.200000000000003</v>
      </c>
      <c r="V368" s="4">
        <f t="shared" si="84"/>
        <v>24.800000000000004</v>
      </c>
      <c r="W368" s="4">
        <f t="shared" si="84"/>
        <v>24.400000000000006</v>
      </c>
      <c r="X368" s="4">
        <f t="shared" si="84"/>
        <v>24.000000000000007</v>
      </c>
      <c r="Y368" s="4">
        <f t="shared" si="84"/>
        <v>23.600000000000009</v>
      </c>
      <c r="Z368" s="4">
        <f t="shared" si="84"/>
        <v>23.20000000000001</v>
      </c>
      <c r="AA368" s="4">
        <f t="shared" si="84"/>
        <v>22.800000000000011</v>
      </c>
      <c r="AB368" s="4">
        <f t="shared" si="84"/>
        <v>22.400000000000013</v>
      </c>
      <c r="AC368" s="4">
        <f t="shared" si="84"/>
        <v>22.000000000000014</v>
      </c>
      <c r="AD368" s="4">
        <f t="shared" si="84"/>
        <v>21.600000000000016</v>
      </c>
      <c r="AE368" s="4">
        <f t="shared" si="84"/>
        <v>21.200000000000017</v>
      </c>
      <c r="AF368" s="4">
        <f t="shared" si="84"/>
        <v>20.800000000000018</v>
      </c>
      <c r="AG368" s="4">
        <f t="shared" si="84"/>
        <v>20.40000000000002</v>
      </c>
      <c r="AH368" s="4">
        <f t="shared" si="84"/>
        <v>20.000000000000021</v>
      </c>
      <c r="AI368" s="4">
        <f t="shared" si="84"/>
        <v>19.600000000000023</v>
      </c>
      <c r="AJ368" s="4">
        <f t="shared" si="84"/>
        <v>19.200000000000024</v>
      </c>
      <c r="AK368" s="4">
        <f t="shared" si="84"/>
        <v>18.800000000000026</v>
      </c>
    </row>
    <row r="369" spans="3:37" outlineLevel="1" x14ac:dyDescent="0.25">
      <c r="C369" s="38">
        <v>34</v>
      </c>
      <c r="D369" s="4">
        <f t="shared" ref="D369:AK376" si="85">(IF(C369&lt;=4.4,C369-$E$6,IF(AND(C369&gt;=4.5,C369&lt;=11.4),C369-$E$7,IF(AND(C369&gt;=11.5,C369&lt;=18.4),C369-$E$8,IF(AND(C369&gt;=18.5,C369&lt;=26.4),C369-$E$9,IF(AND(C369&gt;=26.4,C369&lt;=36),C369-$E$10,IF(C369&gt;=37,C369-$E$11)))))))</f>
        <v>33.5</v>
      </c>
      <c r="E369" s="4">
        <f t="shared" si="85"/>
        <v>33</v>
      </c>
      <c r="F369" s="4">
        <f t="shared" si="85"/>
        <v>32.5</v>
      </c>
      <c r="G369" s="4">
        <f t="shared" si="85"/>
        <v>32</v>
      </c>
      <c r="H369" s="4">
        <f t="shared" si="85"/>
        <v>31.5</v>
      </c>
      <c r="I369" s="4">
        <f t="shared" si="85"/>
        <v>31</v>
      </c>
      <c r="J369" s="4">
        <f t="shared" si="85"/>
        <v>30.5</v>
      </c>
      <c r="K369" s="4">
        <f t="shared" si="85"/>
        <v>30</v>
      </c>
      <c r="L369" s="4">
        <f t="shared" si="85"/>
        <v>29.5</v>
      </c>
      <c r="M369" s="4">
        <f t="shared" si="85"/>
        <v>29</v>
      </c>
      <c r="N369" s="4">
        <f t="shared" si="85"/>
        <v>28.5</v>
      </c>
      <c r="O369" s="4">
        <f t="shared" si="85"/>
        <v>28</v>
      </c>
      <c r="P369" s="4">
        <f t="shared" si="85"/>
        <v>27.5</v>
      </c>
      <c r="Q369" s="4">
        <f t="shared" si="85"/>
        <v>27</v>
      </c>
      <c r="R369" s="4">
        <f t="shared" si="85"/>
        <v>26.5</v>
      </c>
      <c r="S369" s="4">
        <f t="shared" si="85"/>
        <v>26</v>
      </c>
      <c r="T369" s="4">
        <f t="shared" si="85"/>
        <v>25.6</v>
      </c>
      <c r="U369" s="4">
        <f t="shared" si="85"/>
        <v>25.200000000000003</v>
      </c>
      <c r="V369" s="4">
        <f t="shared" si="85"/>
        <v>24.800000000000004</v>
      </c>
      <c r="W369" s="4">
        <f t="shared" si="85"/>
        <v>24.400000000000006</v>
      </c>
      <c r="X369" s="4">
        <f t="shared" si="85"/>
        <v>24.000000000000007</v>
      </c>
      <c r="Y369" s="4">
        <f t="shared" si="85"/>
        <v>23.600000000000009</v>
      </c>
      <c r="Z369" s="4">
        <f t="shared" si="85"/>
        <v>23.20000000000001</v>
      </c>
      <c r="AA369" s="4">
        <f t="shared" si="85"/>
        <v>22.800000000000011</v>
      </c>
      <c r="AB369" s="4">
        <f t="shared" si="85"/>
        <v>22.400000000000013</v>
      </c>
      <c r="AC369" s="4">
        <f t="shared" si="85"/>
        <v>22.000000000000014</v>
      </c>
      <c r="AD369" s="4">
        <f t="shared" si="85"/>
        <v>21.600000000000016</v>
      </c>
      <c r="AE369" s="4">
        <f t="shared" si="85"/>
        <v>21.200000000000017</v>
      </c>
      <c r="AF369" s="4">
        <f t="shared" si="85"/>
        <v>20.800000000000018</v>
      </c>
      <c r="AG369" s="4">
        <f t="shared" si="85"/>
        <v>20.40000000000002</v>
      </c>
      <c r="AH369" s="4">
        <f t="shared" si="85"/>
        <v>20.000000000000021</v>
      </c>
      <c r="AI369" s="4">
        <f t="shared" si="85"/>
        <v>19.600000000000023</v>
      </c>
      <c r="AJ369" s="4">
        <f t="shared" si="85"/>
        <v>19.200000000000024</v>
      </c>
      <c r="AK369" s="4">
        <f t="shared" si="85"/>
        <v>18.800000000000026</v>
      </c>
    </row>
    <row r="370" spans="3:37" outlineLevel="1" x14ac:dyDescent="0.25">
      <c r="C370" s="38">
        <v>34.1</v>
      </c>
      <c r="D370" s="4">
        <f t="shared" si="85"/>
        <v>33.6</v>
      </c>
      <c r="E370" s="4">
        <f t="shared" si="85"/>
        <v>33.1</v>
      </c>
      <c r="F370" s="4">
        <f t="shared" si="85"/>
        <v>32.6</v>
      </c>
      <c r="G370" s="4">
        <f t="shared" si="85"/>
        <v>32.1</v>
      </c>
      <c r="H370" s="4">
        <f t="shared" si="85"/>
        <v>31.6</v>
      </c>
      <c r="I370" s="4">
        <f t="shared" si="85"/>
        <v>31.1</v>
      </c>
      <c r="J370" s="4">
        <f t="shared" si="85"/>
        <v>30.6</v>
      </c>
      <c r="K370" s="4">
        <f t="shared" si="85"/>
        <v>30.1</v>
      </c>
      <c r="L370" s="4">
        <f t="shared" si="85"/>
        <v>29.6</v>
      </c>
      <c r="M370" s="4">
        <f t="shared" si="85"/>
        <v>29.1</v>
      </c>
      <c r="N370" s="4">
        <f t="shared" si="85"/>
        <v>28.6</v>
      </c>
      <c r="O370" s="4">
        <f t="shared" si="85"/>
        <v>28.1</v>
      </c>
      <c r="P370" s="4">
        <f t="shared" si="85"/>
        <v>27.6</v>
      </c>
      <c r="Q370" s="4">
        <f t="shared" si="85"/>
        <v>27.1</v>
      </c>
      <c r="R370" s="4">
        <f t="shared" si="85"/>
        <v>26.6</v>
      </c>
      <c r="S370" s="4">
        <f t="shared" si="85"/>
        <v>26.1</v>
      </c>
      <c r="T370" s="4">
        <f t="shared" si="85"/>
        <v>25.700000000000003</v>
      </c>
      <c r="U370" s="4">
        <f t="shared" si="85"/>
        <v>25.300000000000004</v>
      </c>
      <c r="V370" s="4">
        <f t="shared" si="85"/>
        <v>24.900000000000006</v>
      </c>
      <c r="W370" s="4">
        <f t="shared" si="85"/>
        <v>24.500000000000007</v>
      </c>
      <c r="X370" s="4">
        <f t="shared" si="85"/>
        <v>24.100000000000009</v>
      </c>
      <c r="Y370" s="4">
        <f t="shared" si="85"/>
        <v>23.70000000000001</v>
      </c>
      <c r="Z370" s="4">
        <f t="shared" si="85"/>
        <v>23.300000000000011</v>
      </c>
      <c r="AA370" s="4">
        <f t="shared" si="85"/>
        <v>22.900000000000013</v>
      </c>
      <c r="AB370" s="4">
        <f t="shared" si="85"/>
        <v>22.500000000000014</v>
      </c>
      <c r="AC370" s="4">
        <f t="shared" si="85"/>
        <v>22.100000000000016</v>
      </c>
      <c r="AD370" s="4">
        <f t="shared" si="85"/>
        <v>21.700000000000017</v>
      </c>
      <c r="AE370" s="4">
        <f t="shared" si="85"/>
        <v>21.300000000000018</v>
      </c>
      <c r="AF370" s="4">
        <f t="shared" si="85"/>
        <v>20.90000000000002</v>
      </c>
      <c r="AG370" s="4">
        <f t="shared" si="85"/>
        <v>20.500000000000021</v>
      </c>
      <c r="AH370" s="4">
        <f t="shared" si="85"/>
        <v>20.100000000000023</v>
      </c>
      <c r="AI370" s="4">
        <f t="shared" si="85"/>
        <v>19.700000000000024</v>
      </c>
      <c r="AJ370" s="4">
        <f t="shared" si="85"/>
        <v>19.300000000000026</v>
      </c>
      <c r="AK370" s="4">
        <f t="shared" si="85"/>
        <v>18.900000000000027</v>
      </c>
    </row>
    <row r="371" spans="3:37" outlineLevel="1" x14ac:dyDescent="0.25">
      <c r="C371" s="38">
        <v>34.200000000000003</v>
      </c>
      <c r="D371" s="4">
        <f t="shared" si="85"/>
        <v>33.700000000000003</v>
      </c>
      <c r="E371" s="4">
        <f t="shared" si="85"/>
        <v>33.200000000000003</v>
      </c>
      <c r="F371" s="4">
        <f t="shared" si="85"/>
        <v>32.700000000000003</v>
      </c>
      <c r="G371" s="4">
        <f t="shared" si="85"/>
        <v>32.200000000000003</v>
      </c>
      <c r="H371" s="4">
        <f t="shared" si="85"/>
        <v>31.700000000000003</v>
      </c>
      <c r="I371" s="4">
        <f t="shared" si="85"/>
        <v>31.200000000000003</v>
      </c>
      <c r="J371" s="4">
        <f t="shared" si="85"/>
        <v>30.700000000000003</v>
      </c>
      <c r="K371" s="4">
        <f t="shared" si="85"/>
        <v>30.200000000000003</v>
      </c>
      <c r="L371" s="4">
        <f t="shared" si="85"/>
        <v>29.700000000000003</v>
      </c>
      <c r="M371" s="4">
        <f t="shared" si="85"/>
        <v>29.200000000000003</v>
      </c>
      <c r="N371" s="4">
        <f t="shared" si="85"/>
        <v>28.700000000000003</v>
      </c>
      <c r="O371" s="4">
        <f t="shared" si="85"/>
        <v>28.200000000000003</v>
      </c>
      <c r="P371" s="4">
        <f t="shared" si="85"/>
        <v>27.700000000000003</v>
      </c>
      <c r="Q371" s="4">
        <f t="shared" si="85"/>
        <v>27.200000000000003</v>
      </c>
      <c r="R371" s="4">
        <f t="shared" si="85"/>
        <v>26.700000000000003</v>
      </c>
      <c r="S371" s="4">
        <f t="shared" si="85"/>
        <v>26.200000000000003</v>
      </c>
      <c r="T371" s="4">
        <f t="shared" si="85"/>
        <v>25.800000000000004</v>
      </c>
      <c r="U371" s="4">
        <f t="shared" si="85"/>
        <v>25.400000000000006</v>
      </c>
      <c r="V371" s="4">
        <f t="shared" si="85"/>
        <v>25.000000000000007</v>
      </c>
      <c r="W371" s="4">
        <f t="shared" si="85"/>
        <v>24.600000000000009</v>
      </c>
      <c r="X371" s="4">
        <f t="shared" si="85"/>
        <v>24.20000000000001</v>
      </c>
      <c r="Y371" s="4">
        <f t="shared" si="85"/>
        <v>23.800000000000011</v>
      </c>
      <c r="Z371" s="4">
        <f t="shared" si="85"/>
        <v>23.400000000000013</v>
      </c>
      <c r="AA371" s="4">
        <f t="shared" si="85"/>
        <v>23.000000000000014</v>
      </c>
      <c r="AB371" s="4">
        <f t="shared" si="85"/>
        <v>22.600000000000016</v>
      </c>
      <c r="AC371" s="4">
        <f t="shared" si="85"/>
        <v>22.200000000000017</v>
      </c>
      <c r="AD371" s="4">
        <f t="shared" si="85"/>
        <v>21.800000000000018</v>
      </c>
      <c r="AE371" s="4">
        <f t="shared" si="85"/>
        <v>21.40000000000002</v>
      </c>
      <c r="AF371" s="4">
        <f t="shared" si="85"/>
        <v>21.000000000000021</v>
      </c>
      <c r="AG371" s="4">
        <f t="shared" si="85"/>
        <v>20.600000000000023</v>
      </c>
      <c r="AH371" s="4">
        <f t="shared" si="85"/>
        <v>20.200000000000024</v>
      </c>
      <c r="AI371" s="4">
        <f t="shared" si="85"/>
        <v>19.800000000000026</v>
      </c>
      <c r="AJ371" s="4">
        <f t="shared" si="85"/>
        <v>19.400000000000027</v>
      </c>
      <c r="AK371" s="4">
        <f t="shared" si="85"/>
        <v>19.000000000000028</v>
      </c>
    </row>
    <row r="372" spans="3:37" outlineLevel="1" x14ac:dyDescent="0.25">
      <c r="C372" s="38">
        <v>34.299999999999997</v>
      </c>
      <c r="D372" s="4">
        <f t="shared" si="85"/>
        <v>33.799999999999997</v>
      </c>
      <c r="E372" s="4">
        <f t="shared" si="85"/>
        <v>33.299999999999997</v>
      </c>
      <c r="F372" s="4">
        <f t="shared" si="85"/>
        <v>32.799999999999997</v>
      </c>
      <c r="G372" s="4">
        <f t="shared" si="85"/>
        <v>32.299999999999997</v>
      </c>
      <c r="H372" s="4">
        <f t="shared" si="85"/>
        <v>31.799999999999997</v>
      </c>
      <c r="I372" s="4">
        <f t="shared" si="85"/>
        <v>31.299999999999997</v>
      </c>
      <c r="J372" s="4">
        <f t="shared" si="85"/>
        <v>30.799999999999997</v>
      </c>
      <c r="K372" s="4">
        <f t="shared" si="85"/>
        <v>30.299999999999997</v>
      </c>
      <c r="L372" s="4">
        <f t="shared" si="85"/>
        <v>29.799999999999997</v>
      </c>
      <c r="M372" s="4">
        <f t="shared" si="85"/>
        <v>29.299999999999997</v>
      </c>
      <c r="N372" s="4">
        <f t="shared" si="85"/>
        <v>28.799999999999997</v>
      </c>
      <c r="O372" s="4">
        <f t="shared" si="85"/>
        <v>28.299999999999997</v>
      </c>
      <c r="P372" s="4">
        <f t="shared" si="85"/>
        <v>27.799999999999997</v>
      </c>
      <c r="Q372" s="4">
        <f t="shared" si="85"/>
        <v>27.299999999999997</v>
      </c>
      <c r="R372" s="4">
        <f t="shared" si="85"/>
        <v>26.799999999999997</v>
      </c>
      <c r="S372" s="4">
        <f t="shared" si="85"/>
        <v>26.299999999999997</v>
      </c>
      <c r="T372" s="4">
        <f t="shared" si="85"/>
        <v>25.9</v>
      </c>
      <c r="U372" s="4">
        <f t="shared" si="85"/>
        <v>25.5</v>
      </c>
      <c r="V372" s="4">
        <f t="shared" si="85"/>
        <v>25.1</v>
      </c>
      <c r="W372" s="4">
        <f t="shared" si="85"/>
        <v>24.700000000000003</v>
      </c>
      <c r="X372" s="4">
        <f t="shared" si="85"/>
        <v>24.300000000000004</v>
      </c>
      <c r="Y372" s="4">
        <f t="shared" si="85"/>
        <v>23.900000000000006</v>
      </c>
      <c r="Z372" s="4">
        <f t="shared" si="85"/>
        <v>23.500000000000007</v>
      </c>
      <c r="AA372" s="4">
        <f t="shared" si="85"/>
        <v>23.100000000000009</v>
      </c>
      <c r="AB372" s="4">
        <f t="shared" si="85"/>
        <v>22.70000000000001</v>
      </c>
      <c r="AC372" s="4">
        <f t="shared" si="85"/>
        <v>22.300000000000011</v>
      </c>
      <c r="AD372" s="4">
        <f t="shared" si="85"/>
        <v>21.900000000000013</v>
      </c>
      <c r="AE372" s="4">
        <f t="shared" si="85"/>
        <v>21.500000000000014</v>
      </c>
      <c r="AF372" s="4">
        <f t="shared" si="85"/>
        <v>21.100000000000016</v>
      </c>
      <c r="AG372" s="4">
        <f t="shared" si="85"/>
        <v>20.700000000000017</v>
      </c>
      <c r="AH372" s="4">
        <f t="shared" si="85"/>
        <v>20.300000000000018</v>
      </c>
      <c r="AI372" s="4">
        <f t="shared" si="85"/>
        <v>19.90000000000002</v>
      </c>
      <c r="AJ372" s="4">
        <f t="shared" si="85"/>
        <v>19.500000000000021</v>
      </c>
      <c r="AK372" s="4">
        <f t="shared" si="85"/>
        <v>19.100000000000023</v>
      </c>
    </row>
    <row r="373" spans="3:37" outlineLevel="1" x14ac:dyDescent="0.25">
      <c r="C373" s="38">
        <v>34.4</v>
      </c>
      <c r="D373" s="4">
        <f t="shared" si="85"/>
        <v>33.9</v>
      </c>
      <c r="E373" s="4">
        <f t="shared" si="85"/>
        <v>33.4</v>
      </c>
      <c r="F373" s="4">
        <f t="shared" si="85"/>
        <v>32.9</v>
      </c>
      <c r="G373" s="4">
        <f t="shared" si="85"/>
        <v>32.4</v>
      </c>
      <c r="H373" s="4">
        <f t="shared" si="85"/>
        <v>31.9</v>
      </c>
      <c r="I373" s="4">
        <f t="shared" si="85"/>
        <v>31.4</v>
      </c>
      <c r="J373" s="4">
        <f t="shared" si="85"/>
        <v>30.9</v>
      </c>
      <c r="K373" s="4">
        <f t="shared" si="85"/>
        <v>30.4</v>
      </c>
      <c r="L373" s="4">
        <f t="shared" si="85"/>
        <v>29.9</v>
      </c>
      <c r="M373" s="4">
        <f t="shared" si="85"/>
        <v>29.4</v>
      </c>
      <c r="N373" s="4">
        <f t="shared" si="85"/>
        <v>28.9</v>
      </c>
      <c r="O373" s="4">
        <f t="shared" si="85"/>
        <v>28.4</v>
      </c>
      <c r="P373" s="4">
        <f t="shared" si="85"/>
        <v>27.9</v>
      </c>
      <c r="Q373" s="4">
        <f t="shared" si="85"/>
        <v>27.4</v>
      </c>
      <c r="R373" s="4">
        <f t="shared" si="85"/>
        <v>26.9</v>
      </c>
      <c r="S373" s="4">
        <f t="shared" si="85"/>
        <v>26.4</v>
      </c>
      <c r="T373" s="4">
        <f t="shared" si="85"/>
        <v>26</v>
      </c>
      <c r="U373" s="4">
        <f t="shared" si="85"/>
        <v>25.6</v>
      </c>
      <c r="V373" s="4">
        <f t="shared" si="85"/>
        <v>25.200000000000003</v>
      </c>
      <c r="W373" s="4">
        <f t="shared" si="85"/>
        <v>24.800000000000004</v>
      </c>
      <c r="X373" s="4">
        <f t="shared" si="85"/>
        <v>24.400000000000006</v>
      </c>
      <c r="Y373" s="4">
        <f t="shared" si="85"/>
        <v>24.000000000000007</v>
      </c>
      <c r="Z373" s="4">
        <f t="shared" si="85"/>
        <v>23.600000000000009</v>
      </c>
      <c r="AA373" s="4">
        <f t="shared" si="85"/>
        <v>23.20000000000001</v>
      </c>
      <c r="AB373" s="4">
        <f t="shared" si="85"/>
        <v>22.800000000000011</v>
      </c>
      <c r="AC373" s="4">
        <f t="shared" si="85"/>
        <v>22.400000000000013</v>
      </c>
      <c r="AD373" s="4">
        <f t="shared" si="85"/>
        <v>22.000000000000014</v>
      </c>
      <c r="AE373" s="4">
        <f t="shared" si="85"/>
        <v>21.600000000000016</v>
      </c>
      <c r="AF373" s="4">
        <f t="shared" si="85"/>
        <v>21.200000000000017</v>
      </c>
      <c r="AG373" s="4">
        <f t="shared" si="85"/>
        <v>20.800000000000018</v>
      </c>
      <c r="AH373" s="4">
        <f t="shared" si="85"/>
        <v>20.40000000000002</v>
      </c>
      <c r="AI373" s="4">
        <f t="shared" si="85"/>
        <v>20.000000000000021</v>
      </c>
      <c r="AJ373" s="4">
        <f t="shared" si="85"/>
        <v>19.600000000000023</v>
      </c>
      <c r="AK373" s="4">
        <f t="shared" si="85"/>
        <v>19.200000000000024</v>
      </c>
    </row>
    <row r="374" spans="3:37" outlineLevel="1" x14ac:dyDescent="0.25">
      <c r="C374" s="38">
        <v>34.5</v>
      </c>
      <c r="D374" s="4">
        <f t="shared" si="85"/>
        <v>34</v>
      </c>
      <c r="E374" s="4">
        <f t="shared" si="85"/>
        <v>33.5</v>
      </c>
      <c r="F374" s="4">
        <f t="shared" si="85"/>
        <v>33</v>
      </c>
      <c r="G374" s="4">
        <f t="shared" si="85"/>
        <v>32.5</v>
      </c>
      <c r="H374" s="4">
        <f t="shared" si="85"/>
        <v>32</v>
      </c>
      <c r="I374" s="4">
        <f t="shared" si="85"/>
        <v>31.5</v>
      </c>
      <c r="J374" s="4">
        <f t="shared" si="85"/>
        <v>31</v>
      </c>
      <c r="K374" s="4">
        <f t="shared" si="85"/>
        <v>30.5</v>
      </c>
      <c r="L374" s="4">
        <f t="shared" si="85"/>
        <v>30</v>
      </c>
      <c r="M374" s="4">
        <f t="shared" si="85"/>
        <v>29.5</v>
      </c>
      <c r="N374" s="4">
        <f t="shared" si="85"/>
        <v>29</v>
      </c>
      <c r="O374" s="4">
        <f t="shared" si="85"/>
        <v>28.5</v>
      </c>
      <c r="P374" s="4">
        <f t="shared" si="85"/>
        <v>28</v>
      </c>
      <c r="Q374" s="4">
        <f t="shared" si="85"/>
        <v>27.5</v>
      </c>
      <c r="R374" s="4">
        <f t="shared" si="85"/>
        <v>27</v>
      </c>
      <c r="S374" s="4">
        <f t="shared" si="85"/>
        <v>26.5</v>
      </c>
      <c r="T374" s="4">
        <f t="shared" si="85"/>
        <v>26</v>
      </c>
      <c r="U374" s="4">
        <f t="shared" si="85"/>
        <v>25.6</v>
      </c>
      <c r="V374" s="4">
        <f t="shared" si="85"/>
        <v>25.200000000000003</v>
      </c>
      <c r="W374" s="4">
        <f t="shared" si="85"/>
        <v>24.800000000000004</v>
      </c>
      <c r="X374" s="4">
        <f t="shared" si="85"/>
        <v>24.400000000000006</v>
      </c>
      <c r="Y374" s="4">
        <f t="shared" si="85"/>
        <v>24.000000000000007</v>
      </c>
      <c r="Z374" s="4">
        <f t="shared" si="85"/>
        <v>23.600000000000009</v>
      </c>
      <c r="AA374" s="4">
        <f t="shared" si="85"/>
        <v>23.20000000000001</v>
      </c>
      <c r="AB374" s="4">
        <f t="shared" si="85"/>
        <v>22.800000000000011</v>
      </c>
      <c r="AC374" s="4">
        <f t="shared" si="85"/>
        <v>22.400000000000013</v>
      </c>
      <c r="AD374" s="4">
        <f t="shared" si="85"/>
        <v>22.000000000000014</v>
      </c>
      <c r="AE374" s="4">
        <f t="shared" si="85"/>
        <v>21.600000000000016</v>
      </c>
      <c r="AF374" s="4">
        <f t="shared" si="85"/>
        <v>21.200000000000017</v>
      </c>
      <c r="AG374" s="4">
        <f t="shared" si="85"/>
        <v>20.800000000000018</v>
      </c>
      <c r="AH374" s="4">
        <f t="shared" si="85"/>
        <v>20.40000000000002</v>
      </c>
      <c r="AI374" s="4">
        <f t="shared" si="85"/>
        <v>20.000000000000021</v>
      </c>
      <c r="AJ374" s="4">
        <f t="shared" si="85"/>
        <v>19.600000000000023</v>
      </c>
      <c r="AK374" s="4">
        <f t="shared" si="85"/>
        <v>19.200000000000024</v>
      </c>
    </row>
    <row r="375" spans="3:37" outlineLevel="1" x14ac:dyDescent="0.25">
      <c r="C375" s="38">
        <v>34.6</v>
      </c>
      <c r="D375" s="4">
        <f t="shared" si="85"/>
        <v>34.1</v>
      </c>
      <c r="E375" s="4">
        <f t="shared" si="85"/>
        <v>33.6</v>
      </c>
      <c r="F375" s="4">
        <f t="shared" si="85"/>
        <v>33.1</v>
      </c>
      <c r="G375" s="4">
        <f t="shared" si="85"/>
        <v>32.6</v>
      </c>
      <c r="H375" s="4">
        <f t="shared" si="85"/>
        <v>32.1</v>
      </c>
      <c r="I375" s="4">
        <f t="shared" si="85"/>
        <v>31.6</v>
      </c>
      <c r="J375" s="4">
        <f t="shared" si="85"/>
        <v>31.1</v>
      </c>
      <c r="K375" s="4">
        <f t="shared" si="85"/>
        <v>30.6</v>
      </c>
      <c r="L375" s="4">
        <f t="shared" si="85"/>
        <v>30.1</v>
      </c>
      <c r="M375" s="4">
        <f t="shared" si="85"/>
        <v>29.6</v>
      </c>
      <c r="N375" s="4">
        <f t="shared" si="85"/>
        <v>29.1</v>
      </c>
      <c r="O375" s="4">
        <f t="shared" si="85"/>
        <v>28.6</v>
      </c>
      <c r="P375" s="4">
        <f t="shared" si="85"/>
        <v>28.1</v>
      </c>
      <c r="Q375" s="4">
        <f t="shared" si="85"/>
        <v>27.6</v>
      </c>
      <c r="R375" s="4">
        <f t="shared" si="85"/>
        <v>27.1</v>
      </c>
      <c r="S375" s="4">
        <f t="shared" si="85"/>
        <v>26.6</v>
      </c>
      <c r="T375" s="4">
        <f t="shared" si="85"/>
        <v>26.1</v>
      </c>
      <c r="U375" s="4">
        <f t="shared" si="85"/>
        <v>25.700000000000003</v>
      </c>
      <c r="V375" s="4">
        <f t="shared" si="85"/>
        <v>25.300000000000004</v>
      </c>
      <c r="W375" s="4">
        <f t="shared" si="85"/>
        <v>24.900000000000006</v>
      </c>
      <c r="X375" s="4">
        <f t="shared" si="85"/>
        <v>24.500000000000007</v>
      </c>
      <c r="Y375" s="4">
        <f t="shared" si="85"/>
        <v>24.100000000000009</v>
      </c>
      <c r="Z375" s="4">
        <f t="shared" si="85"/>
        <v>23.70000000000001</v>
      </c>
      <c r="AA375" s="4">
        <f t="shared" si="85"/>
        <v>23.300000000000011</v>
      </c>
      <c r="AB375" s="4">
        <f t="shared" si="85"/>
        <v>22.900000000000013</v>
      </c>
      <c r="AC375" s="4">
        <f t="shared" si="85"/>
        <v>22.500000000000014</v>
      </c>
      <c r="AD375" s="4">
        <f t="shared" si="85"/>
        <v>22.100000000000016</v>
      </c>
      <c r="AE375" s="4">
        <f t="shared" si="85"/>
        <v>21.700000000000017</v>
      </c>
      <c r="AF375" s="4">
        <f t="shared" si="85"/>
        <v>21.300000000000018</v>
      </c>
      <c r="AG375" s="4">
        <f t="shared" si="85"/>
        <v>20.90000000000002</v>
      </c>
      <c r="AH375" s="4">
        <f t="shared" si="85"/>
        <v>20.500000000000021</v>
      </c>
      <c r="AI375" s="4">
        <f t="shared" si="85"/>
        <v>20.100000000000023</v>
      </c>
      <c r="AJ375" s="4">
        <f t="shared" si="85"/>
        <v>19.700000000000024</v>
      </c>
      <c r="AK375" s="4">
        <f t="shared" si="85"/>
        <v>19.300000000000026</v>
      </c>
    </row>
    <row r="376" spans="3:37" outlineLevel="1" x14ac:dyDescent="0.25">
      <c r="C376" s="38">
        <v>34.700000000000003</v>
      </c>
      <c r="D376" s="4">
        <f t="shared" si="85"/>
        <v>34.200000000000003</v>
      </c>
      <c r="E376" s="4">
        <f t="shared" si="85"/>
        <v>33.700000000000003</v>
      </c>
      <c r="F376" s="4">
        <f t="shared" si="85"/>
        <v>33.200000000000003</v>
      </c>
      <c r="G376" s="4">
        <f t="shared" si="85"/>
        <v>32.700000000000003</v>
      </c>
      <c r="H376" s="4">
        <f t="shared" si="85"/>
        <v>32.200000000000003</v>
      </c>
      <c r="I376" s="4">
        <f t="shared" si="85"/>
        <v>31.700000000000003</v>
      </c>
      <c r="J376" s="4">
        <f t="shared" si="85"/>
        <v>31.200000000000003</v>
      </c>
      <c r="K376" s="4">
        <f t="shared" si="85"/>
        <v>30.700000000000003</v>
      </c>
      <c r="L376" s="4">
        <f t="shared" si="85"/>
        <v>30.200000000000003</v>
      </c>
      <c r="M376" s="4">
        <f t="shared" si="85"/>
        <v>29.700000000000003</v>
      </c>
      <c r="N376" s="4">
        <f t="shared" si="85"/>
        <v>29.200000000000003</v>
      </c>
      <c r="O376" s="4">
        <f t="shared" si="85"/>
        <v>28.700000000000003</v>
      </c>
      <c r="P376" s="4">
        <f t="shared" si="85"/>
        <v>28.200000000000003</v>
      </c>
      <c r="Q376" s="4">
        <f t="shared" si="85"/>
        <v>27.700000000000003</v>
      </c>
      <c r="R376" s="4">
        <f t="shared" si="85"/>
        <v>27.200000000000003</v>
      </c>
      <c r="S376" s="4">
        <f t="shared" si="85"/>
        <v>26.700000000000003</v>
      </c>
      <c r="T376" s="4">
        <f t="shared" si="85"/>
        <v>26.200000000000003</v>
      </c>
      <c r="U376" s="4">
        <f t="shared" ref="U376:AK376" si="86">(IF(T376&lt;=4.4,T376-$E$6,IF(AND(T376&gt;=4.5,T376&lt;=11.4),T376-$E$7,IF(AND(T376&gt;=11.5,T376&lt;=18.4),T376-$E$8,IF(AND(T376&gt;=18.5,T376&lt;=26.4),T376-$E$9,IF(AND(T376&gt;=26.4,T376&lt;=36),T376-$E$10,IF(T376&gt;=37,T376-$E$11)))))))</f>
        <v>25.800000000000004</v>
      </c>
      <c r="V376" s="4">
        <f t="shared" si="86"/>
        <v>25.400000000000006</v>
      </c>
      <c r="W376" s="4">
        <f t="shared" si="86"/>
        <v>25.000000000000007</v>
      </c>
      <c r="X376" s="4">
        <f t="shared" si="86"/>
        <v>24.600000000000009</v>
      </c>
      <c r="Y376" s="4">
        <f t="shared" si="86"/>
        <v>24.20000000000001</v>
      </c>
      <c r="Z376" s="4">
        <f t="shared" si="86"/>
        <v>23.800000000000011</v>
      </c>
      <c r="AA376" s="4">
        <f t="shared" si="86"/>
        <v>23.400000000000013</v>
      </c>
      <c r="AB376" s="4">
        <f t="shared" si="86"/>
        <v>23.000000000000014</v>
      </c>
      <c r="AC376" s="4">
        <f t="shared" si="86"/>
        <v>22.600000000000016</v>
      </c>
      <c r="AD376" s="4">
        <f t="shared" si="86"/>
        <v>22.200000000000017</v>
      </c>
      <c r="AE376" s="4">
        <f t="shared" si="86"/>
        <v>21.800000000000018</v>
      </c>
      <c r="AF376" s="4">
        <f t="shared" si="86"/>
        <v>21.40000000000002</v>
      </c>
      <c r="AG376" s="4">
        <f t="shared" si="86"/>
        <v>21.000000000000021</v>
      </c>
      <c r="AH376" s="4">
        <f t="shared" si="86"/>
        <v>20.600000000000023</v>
      </c>
      <c r="AI376" s="4">
        <f t="shared" si="86"/>
        <v>20.200000000000024</v>
      </c>
      <c r="AJ376" s="4">
        <f t="shared" si="86"/>
        <v>19.800000000000026</v>
      </c>
      <c r="AK376" s="4">
        <f t="shared" si="86"/>
        <v>19.400000000000027</v>
      </c>
    </row>
    <row r="377" spans="3:37" outlineLevel="1" x14ac:dyDescent="0.25">
      <c r="C377" s="38">
        <v>34.799999999999997</v>
      </c>
      <c r="D377" s="4">
        <f t="shared" ref="D377:AK384" si="87">(IF(C377&lt;=4.4,C377-$E$6,IF(AND(C377&gt;=4.5,C377&lt;=11.4),C377-$E$7,IF(AND(C377&gt;=11.5,C377&lt;=18.4),C377-$E$8,IF(AND(C377&gt;=18.5,C377&lt;=26.4),C377-$E$9,IF(AND(C377&gt;=26.4,C377&lt;=36),C377-$E$10,IF(C377&gt;=37,C377-$E$11)))))))</f>
        <v>34.299999999999997</v>
      </c>
      <c r="E377" s="4">
        <f t="shared" si="87"/>
        <v>33.799999999999997</v>
      </c>
      <c r="F377" s="4">
        <f t="shared" si="87"/>
        <v>33.299999999999997</v>
      </c>
      <c r="G377" s="4">
        <f t="shared" si="87"/>
        <v>32.799999999999997</v>
      </c>
      <c r="H377" s="4">
        <f t="shared" si="87"/>
        <v>32.299999999999997</v>
      </c>
      <c r="I377" s="4">
        <f t="shared" si="87"/>
        <v>31.799999999999997</v>
      </c>
      <c r="J377" s="4">
        <f t="shared" si="87"/>
        <v>31.299999999999997</v>
      </c>
      <c r="K377" s="4">
        <f t="shared" si="87"/>
        <v>30.799999999999997</v>
      </c>
      <c r="L377" s="4">
        <f t="shared" si="87"/>
        <v>30.299999999999997</v>
      </c>
      <c r="M377" s="4">
        <f t="shared" si="87"/>
        <v>29.799999999999997</v>
      </c>
      <c r="N377" s="4">
        <f t="shared" si="87"/>
        <v>29.299999999999997</v>
      </c>
      <c r="O377" s="4">
        <f t="shared" si="87"/>
        <v>28.799999999999997</v>
      </c>
      <c r="P377" s="4">
        <f t="shared" si="87"/>
        <v>28.299999999999997</v>
      </c>
      <c r="Q377" s="4">
        <f t="shared" si="87"/>
        <v>27.799999999999997</v>
      </c>
      <c r="R377" s="4">
        <f t="shared" si="87"/>
        <v>27.299999999999997</v>
      </c>
      <c r="S377" s="4">
        <f t="shared" si="87"/>
        <v>26.799999999999997</v>
      </c>
      <c r="T377" s="4">
        <f t="shared" si="87"/>
        <v>26.299999999999997</v>
      </c>
      <c r="U377" s="4">
        <f t="shared" si="87"/>
        <v>25.9</v>
      </c>
      <c r="V377" s="4">
        <f t="shared" si="87"/>
        <v>25.5</v>
      </c>
      <c r="W377" s="4">
        <f t="shared" si="87"/>
        <v>25.1</v>
      </c>
      <c r="X377" s="4">
        <f t="shared" si="87"/>
        <v>24.700000000000003</v>
      </c>
      <c r="Y377" s="4">
        <f t="shared" si="87"/>
        <v>24.300000000000004</v>
      </c>
      <c r="Z377" s="4">
        <f t="shared" si="87"/>
        <v>23.900000000000006</v>
      </c>
      <c r="AA377" s="4">
        <f t="shared" si="87"/>
        <v>23.500000000000007</v>
      </c>
      <c r="AB377" s="4">
        <f t="shared" si="87"/>
        <v>23.100000000000009</v>
      </c>
      <c r="AC377" s="4">
        <f t="shared" si="87"/>
        <v>22.70000000000001</v>
      </c>
      <c r="AD377" s="4">
        <f t="shared" si="87"/>
        <v>22.300000000000011</v>
      </c>
      <c r="AE377" s="4">
        <f t="shared" si="87"/>
        <v>21.900000000000013</v>
      </c>
      <c r="AF377" s="4">
        <f t="shared" si="87"/>
        <v>21.500000000000014</v>
      </c>
      <c r="AG377" s="4">
        <f t="shared" si="87"/>
        <v>21.100000000000016</v>
      </c>
      <c r="AH377" s="4">
        <f t="shared" si="87"/>
        <v>20.700000000000017</v>
      </c>
      <c r="AI377" s="4">
        <f t="shared" si="87"/>
        <v>20.300000000000018</v>
      </c>
      <c r="AJ377" s="4">
        <f t="shared" si="87"/>
        <v>19.90000000000002</v>
      </c>
      <c r="AK377" s="4">
        <f t="shared" si="87"/>
        <v>19.500000000000021</v>
      </c>
    </row>
    <row r="378" spans="3:37" outlineLevel="1" x14ac:dyDescent="0.25">
      <c r="C378" s="38">
        <v>34.9</v>
      </c>
      <c r="D378" s="4">
        <f t="shared" si="87"/>
        <v>34.4</v>
      </c>
      <c r="E378" s="4">
        <f t="shared" si="87"/>
        <v>33.9</v>
      </c>
      <c r="F378" s="4">
        <f t="shared" si="87"/>
        <v>33.4</v>
      </c>
      <c r="G378" s="4">
        <f t="shared" si="87"/>
        <v>32.9</v>
      </c>
      <c r="H378" s="4">
        <f t="shared" si="87"/>
        <v>32.4</v>
      </c>
      <c r="I378" s="4">
        <f t="shared" si="87"/>
        <v>31.9</v>
      </c>
      <c r="J378" s="4">
        <f t="shared" si="87"/>
        <v>31.4</v>
      </c>
      <c r="K378" s="4">
        <f t="shared" si="87"/>
        <v>30.9</v>
      </c>
      <c r="L378" s="4">
        <f t="shared" si="87"/>
        <v>30.4</v>
      </c>
      <c r="M378" s="4">
        <f t="shared" si="87"/>
        <v>29.9</v>
      </c>
      <c r="N378" s="4">
        <f t="shared" si="87"/>
        <v>29.4</v>
      </c>
      <c r="O378" s="4">
        <f t="shared" si="87"/>
        <v>28.9</v>
      </c>
      <c r="P378" s="4">
        <f t="shared" si="87"/>
        <v>28.4</v>
      </c>
      <c r="Q378" s="4">
        <f t="shared" si="87"/>
        <v>27.9</v>
      </c>
      <c r="R378" s="4">
        <f t="shared" si="87"/>
        <v>27.4</v>
      </c>
      <c r="S378" s="4">
        <f t="shared" si="87"/>
        <v>26.9</v>
      </c>
      <c r="T378" s="4">
        <f t="shared" si="87"/>
        <v>26.4</v>
      </c>
      <c r="U378" s="4">
        <f t="shared" si="87"/>
        <v>26</v>
      </c>
      <c r="V378" s="4">
        <f t="shared" si="87"/>
        <v>25.6</v>
      </c>
      <c r="W378" s="4">
        <f t="shared" si="87"/>
        <v>25.200000000000003</v>
      </c>
      <c r="X378" s="4">
        <f t="shared" si="87"/>
        <v>24.800000000000004</v>
      </c>
      <c r="Y378" s="4">
        <f t="shared" si="87"/>
        <v>24.400000000000006</v>
      </c>
      <c r="Z378" s="4">
        <f t="shared" si="87"/>
        <v>24.000000000000007</v>
      </c>
      <c r="AA378" s="4">
        <f t="shared" si="87"/>
        <v>23.600000000000009</v>
      </c>
      <c r="AB378" s="4">
        <f t="shared" si="87"/>
        <v>23.20000000000001</v>
      </c>
      <c r="AC378" s="4">
        <f t="shared" si="87"/>
        <v>22.800000000000011</v>
      </c>
      <c r="AD378" s="4">
        <f t="shared" si="87"/>
        <v>22.400000000000013</v>
      </c>
      <c r="AE378" s="4">
        <f t="shared" si="87"/>
        <v>22.000000000000014</v>
      </c>
      <c r="AF378" s="4">
        <f t="shared" si="87"/>
        <v>21.600000000000016</v>
      </c>
      <c r="AG378" s="4">
        <f t="shared" si="87"/>
        <v>21.200000000000017</v>
      </c>
      <c r="AH378" s="4">
        <f t="shared" si="87"/>
        <v>20.800000000000018</v>
      </c>
      <c r="AI378" s="4">
        <f t="shared" si="87"/>
        <v>20.40000000000002</v>
      </c>
      <c r="AJ378" s="4">
        <f t="shared" si="87"/>
        <v>20.000000000000021</v>
      </c>
      <c r="AK378" s="4">
        <f t="shared" si="87"/>
        <v>19.600000000000023</v>
      </c>
    </row>
    <row r="379" spans="3:37" outlineLevel="1" x14ac:dyDescent="0.25">
      <c r="C379" s="38">
        <v>35</v>
      </c>
      <c r="D379" s="4">
        <f t="shared" si="87"/>
        <v>34.5</v>
      </c>
      <c r="E379" s="4">
        <f t="shared" si="87"/>
        <v>34</v>
      </c>
      <c r="F379" s="4">
        <f t="shared" si="87"/>
        <v>33.5</v>
      </c>
      <c r="G379" s="4">
        <f t="shared" si="87"/>
        <v>33</v>
      </c>
      <c r="H379" s="4">
        <f t="shared" si="87"/>
        <v>32.5</v>
      </c>
      <c r="I379" s="4">
        <f t="shared" si="87"/>
        <v>32</v>
      </c>
      <c r="J379" s="4">
        <f t="shared" si="87"/>
        <v>31.5</v>
      </c>
      <c r="K379" s="4">
        <f t="shared" si="87"/>
        <v>31</v>
      </c>
      <c r="L379" s="4">
        <f t="shared" si="87"/>
        <v>30.5</v>
      </c>
      <c r="M379" s="4">
        <f t="shared" si="87"/>
        <v>30</v>
      </c>
      <c r="N379" s="4">
        <f t="shared" si="87"/>
        <v>29.5</v>
      </c>
      <c r="O379" s="4">
        <f t="shared" si="87"/>
        <v>29</v>
      </c>
      <c r="P379" s="4">
        <f t="shared" si="87"/>
        <v>28.5</v>
      </c>
      <c r="Q379" s="4">
        <f t="shared" si="87"/>
        <v>28</v>
      </c>
      <c r="R379" s="4">
        <f t="shared" si="87"/>
        <v>27.5</v>
      </c>
      <c r="S379" s="4">
        <f t="shared" si="87"/>
        <v>27</v>
      </c>
      <c r="T379" s="4">
        <f t="shared" si="87"/>
        <v>26.5</v>
      </c>
      <c r="U379" s="4">
        <f t="shared" si="87"/>
        <v>26</v>
      </c>
      <c r="V379" s="4">
        <f t="shared" si="87"/>
        <v>25.6</v>
      </c>
      <c r="W379" s="4">
        <f t="shared" si="87"/>
        <v>25.200000000000003</v>
      </c>
      <c r="X379" s="4">
        <f t="shared" si="87"/>
        <v>24.800000000000004</v>
      </c>
      <c r="Y379" s="4">
        <f t="shared" si="87"/>
        <v>24.400000000000006</v>
      </c>
      <c r="Z379" s="4">
        <f t="shared" si="87"/>
        <v>24.000000000000007</v>
      </c>
      <c r="AA379" s="4">
        <f t="shared" si="87"/>
        <v>23.600000000000009</v>
      </c>
      <c r="AB379" s="4">
        <f t="shared" si="87"/>
        <v>23.20000000000001</v>
      </c>
      <c r="AC379" s="4">
        <f t="shared" si="87"/>
        <v>22.800000000000011</v>
      </c>
      <c r="AD379" s="4">
        <f t="shared" si="87"/>
        <v>22.400000000000013</v>
      </c>
      <c r="AE379" s="4">
        <f t="shared" si="87"/>
        <v>22.000000000000014</v>
      </c>
      <c r="AF379" s="4">
        <f t="shared" si="87"/>
        <v>21.600000000000016</v>
      </c>
      <c r="AG379" s="4">
        <f t="shared" si="87"/>
        <v>21.200000000000017</v>
      </c>
      <c r="AH379" s="4">
        <f t="shared" si="87"/>
        <v>20.800000000000018</v>
      </c>
      <c r="AI379" s="4">
        <f t="shared" si="87"/>
        <v>20.40000000000002</v>
      </c>
      <c r="AJ379" s="4">
        <f t="shared" si="87"/>
        <v>20.000000000000021</v>
      </c>
      <c r="AK379" s="4">
        <f t="shared" si="87"/>
        <v>19.600000000000023</v>
      </c>
    </row>
    <row r="380" spans="3:37" outlineLevel="1" x14ac:dyDescent="0.25">
      <c r="C380" s="38">
        <v>35.1</v>
      </c>
      <c r="D380" s="4">
        <f t="shared" si="87"/>
        <v>34.6</v>
      </c>
      <c r="E380" s="4">
        <f t="shared" si="87"/>
        <v>34.1</v>
      </c>
      <c r="F380" s="4">
        <f t="shared" si="87"/>
        <v>33.6</v>
      </c>
      <c r="G380" s="4">
        <f t="shared" si="87"/>
        <v>33.1</v>
      </c>
      <c r="H380" s="4">
        <f t="shared" si="87"/>
        <v>32.6</v>
      </c>
      <c r="I380" s="4">
        <f t="shared" si="87"/>
        <v>32.1</v>
      </c>
      <c r="J380" s="4">
        <f t="shared" si="87"/>
        <v>31.6</v>
      </c>
      <c r="K380" s="4">
        <f t="shared" si="87"/>
        <v>31.1</v>
      </c>
      <c r="L380" s="4">
        <f t="shared" si="87"/>
        <v>30.6</v>
      </c>
      <c r="M380" s="4">
        <f t="shared" si="87"/>
        <v>30.1</v>
      </c>
      <c r="N380" s="4">
        <f t="shared" si="87"/>
        <v>29.6</v>
      </c>
      <c r="O380" s="4">
        <f t="shared" si="87"/>
        <v>29.1</v>
      </c>
      <c r="P380" s="4">
        <f t="shared" si="87"/>
        <v>28.6</v>
      </c>
      <c r="Q380" s="4">
        <f t="shared" si="87"/>
        <v>28.1</v>
      </c>
      <c r="R380" s="4">
        <f t="shared" si="87"/>
        <v>27.6</v>
      </c>
      <c r="S380" s="4">
        <f t="shared" si="87"/>
        <v>27.1</v>
      </c>
      <c r="T380" s="4">
        <f t="shared" si="87"/>
        <v>26.6</v>
      </c>
      <c r="U380" s="4">
        <f t="shared" si="87"/>
        <v>26.1</v>
      </c>
      <c r="V380" s="4">
        <f t="shared" si="87"/>
        <v>25.700000000000003</v>
      </c>
      <c r="W380" s="4">
        <f t="shared" si="87"/>
        <v>25.300000000000004</v>
      </c>
      <c r="X380" s="4">
        <f t="shared" si="87"/>
        <v>24.900000000000006</v>
      </c>
      <c r="Y380" s="4">
        <f t="shared" si="87"/>
        <v>24.500000000000007</v>
      </c>
      <c r="Z380" s="4">
        <f t="shared" si="87"/>
        <v>24.100000000000009</v>
      </c>
      <c r="AA380" s="4">
        <f t="shared" si="87"/>
        <v>23.70000000000001</v>
      </c>
      <c r="AB380" s="4">
        <f t="shared" si="87"/>
        <v>23.300000000000011</v>
      </c>
      <c r="AC380" s="4">
        <f t="shared" si="87"/>
        <v>22.900000000000013</v>
      </c>
      <c r="AD380" s="4">
        <f t="shared" si="87"/>
        <v>22.500000000000014</v>
      </c>
      <c r="AE380" s="4">
        <f t="shared" si="87"/>
        <v>22.100000000000016</v>
      </c>
      <c r="AF380" s="4">
        <f t="shared" si="87"/>
        <v>21.700000000000017</v>
      </c>
      <c r="AG380" s="4">
        <f t="shared" si="87"/>
        <v>21.300000000000018</v>
      </c>
      <c r="AH380" s="4">
        <f t="shared" si="87"/>
        <v>20.90000000000002</v>
      </c>
      <c r="AI380" s="4">
        <f t="shared" si="87"/>
        <v>20.500000000000021</v>
      </c>
      <c r="AJ380" s="4">
        <f t="shared" si="87"/>
        <v>20.100000000000023</v>
      </c>
      <c r="AK380" s="4">
        <f t="shared" si="87"/>
        <v>19.700000000000024</v>
      </c>
    </row>
    <row r="381" spans="3:37" outlineLevel="1" x14ac:dyDescent="0.25">
      <c r="C381" s="38">
        <v>35.200000000000003</v>
      </c>
      <c r="D381" s="4">
        <f t="shared" si="87"/>
        <v>34.700000000000003</v>
      </c>
      <c r="E381" s="4">
        <f t="shared" si="87"/>
        <v>34.200000000000003</v>
      </c>
      <c r="F381" s="4">
        <f t="shared" si="87"/>
        <v>33.700000000000003</v>
      </c>
      <c r="G381" s="4">
        <f t="shared" si="87"/>
        <v>33.200000000000003</v>
      </c>
      <c r="H381" s="4">
        <f t="shared" si="87"/>
        <v>32.700000000000003</v>
      </c>
      <c r="I381" s="4">
        <f t="shared" si="87"/>
        <v>32.200000000000003</v>
      </c>
      <c r="J381" s="4">
        <f t="shared" si="87"/>
        <v>31.700000000000003</v>
      </c>
      <c r="K381" s="4">
        <f t="shared" si="87"/>
        <v>31.200000000000003</v>
      </c>
      <c r="L381" s="4">
        <f t="shared" si="87"/>
        <v>30.700000000000003</v>
      </c>
      <c r="M381" s="4">
        <f t="shared" si="87"/>
        <v>30.200000000000003</v>
      </c>
      <c r="N381" s="4">
        <f t="shared" si="87"/>
        <v>29.700000000000003</v>
      </c>
      <c r="O381" s="4">
        <f t="shared" si="87"/>
        <v>29.200000000000003</v>
      </c>
      <c r="P381" s="4">
        <f t="shared" si="87"/>
        <v>28.700000000000003</v>
      </c>
      <c r="Q381" s="4">
        <f t="shared" si="87"/>
        <v>28.200000000000003</v>
      </c>
      <c r="R381" s="4">
        <f t="shared" si="87"/>
        <v>27.700000000000003</v>
      </c>
      <c r="S381" s="4">
        <f t="shared" si="87"/>
        <v>27.200000000000003</v>
      </c>
      <c r="T381" s="4">
        <f t="shared" si="87"/>
        <v>26.700000000000003</v>
      </c>
      <c r="U381" s="4">
        <f t="shared" si="87"/>
        <v>26.200000000000003</v>
      </c>
      <c r="V381" s="4">
        <f t="shared" si="87"/>
        <v>25.800000000000004</v>
      </c>
      <c r="W381" s="4">
        <f t="shared" si="87"/>
        <v>25.400000000000006</v>
      </c>
      <c r="X381" s="4">
        <f t="shared" si="87"/>
        <v>25.000000000000007</v>
      </c>
      <c r="Y381" s="4">
        <f t="shared" si="87"/>
        <v>24.600000000000009</v>
      </c>
      <c r="Z381" s="4">
        <f t="shared" si="87"/>
        <v>24.20000000000001</v>
      </c>
      <c r="AA381" s="4">
        <f t="shared" si="87"/>
        <v>23.800000000000011</v>
      </c>
      <c r="AB381" s="4">
        <f t="shared" si="87"/>
        <v>23.400000000000013</v>
      </c>
      <c r="AC381" s="4">
        <f t="shared" si="87"/>
        <v>23.000000000000014</v>
      </c>
      <c r="AD381" s="4">
        <f t="shared" si="87"/>
        <v>22.600000000000016</v>
      </c>
      <c r="AE381" s="4">
        <f t="shared" si="87"/>
        <v>22.200000000000017</v>
      </c>
      <c r="AF381" s="4">
        <f t="shared" si="87"/>
        <v>21.800000000000018</v>
      </c>
      <c r="AG381" s="4">
        <f t="shared" si="87"/>
        <v>21.40000000000002</v>
      </c>
      <c r="AH381" s="4">
        <f t="shared" si="87"/>
        <v>21.000000000000021</v>
      </c>
      <c r="AI381" s="4">
        <f t="shared" si="87"/>
        <v>20.600000000000023</v>
      </c>
      <c r="AJ381" s="4">
        <f t="shared" si="87"/>
        <v>20.200000000000024</v>
      </c>
      <c r="AK381" s="4">
        <f t="shared" si="87"/>
        <v>19.800000000000026</v>
      </c>
    </row>
    <row r="382" spans="3:37" outlineLevel="1" x14ac:dyDescent="0.25">
      <c r="C382" s="38">
        <v>35.299999999999997</v>
      </c>
      <c r="D382" s="4">
        <f t="shared" si="87"/>
        <v>34.799999999999997</v>
      </c>
      <c r="E382" s="4">
        <f t="shared" si="87"/>
        <v>34.299999999999997</v>
      </c>
      <c r="F382" s="4">
        <f t="shared" si="87"/>
        <v>33.799999999999997</v>
      </c>
      <c r="G382" s="4">
        <f t="shared" si="87"/>
        <v>33.299999999999997</v>
      </c>
      <c r="H382" s="4">
        <f t="shared" si="87"/>
        <v>32.799999999999997</v>
      </c>
      <c r="I382" s="4">
        <f t="shared" si="87"/>
        <v>32.299999999999997</v>
      </c>
      <c r="J382" s="4">
        <f t="shared" si="87"/>
        <v>31.799999999999997</v>
      </c>
      <c r="K382" s="4">
        <f t="shared" si="87"/>
        <v>31.299999999999997</v>
      </c>
      <c r="L382" s="4">
        <f t="shared" si="87"/>
        <v>30.799999999999997</v>
      </c>
      <c r="M382" s="4">
        <f t="shared" si="87"/>
        <v>30.299999999999997</v>
      </c>
      <c r="N382" s="4">
        <f t="shared" si="87"/>
        <v>29.799999999999997</v>
      </c>
      <c r="O382" s="4">
        <f t="shared" si="87"/>
        <v>29.299999999999997</v>
      </c>
      <c r="P382" s="4">
        <f t="shared" si="87"/>
        <v>28.799999999999997</v>
      </c>
      <c r="Q382" s="4">
        <f t="shared" si="87"/>
        <v>28.299999999999997</v>
      </c>
      <c r="R382" s="4">
        <f t="shared" si="87"/>
        <v>27.799999999999997</v>
      </c>
      <c r="S382" s="4">
        <f t="shared" si="87"/>
        <v>27.299999999999997</v>
      </c>
      <c r="T382" s="4">
        <f t="shared" si="87"/>
        <v>26.799999999999997</v>
      </c>
      <c r="U382" s="4">
        <f t="shared" si="87"/>
        <v>26.299999999999997</v>
      </c>
      <c r="V382" s="4">
        <f t="shared" si="87"/>
        <v>25.9</v>
      </c>
      <c r="W382" s="4">
        <f t="shared" si="87"/>
        <v>25.5</v>
      </c>
      <c r="X382" s="4">
        <f t="shared" si="87"/>
        <v>25.1</v>
      </c>
      <c r="Y382" s="4">
        <f t="shared" si="87"/>
        <v>24.700000000000003</v>
      </c>
      <c r="Z382" s="4">
        <f t="shared" si="87"/>
        <v>24.300000000000004</v>
      </c>
      <c r="AA382" s="4">
        <f t="shared" si="87"/>
        <v>23.900000000000006</v>
      </c>
      <c r="AB382" s="4">
        <f t="shared" si="87"/>
        <v>23.500000000000007</v>
      </c>
      <c r="AC382" s="4">
        <f t="shared" si="87"/>
        <v>23.100000000000009</v>
      </c>
      <c r="AD382" s="4">
        <f t="shared" si="87"/>
        <v>22.70000000000001</v>
      </c>
      <c r="AE382" s="4">
        <f t="shared" si="87"/>
        <v>22.300000000000011</v>
      </c>
      <c r="AF382" s="4">
        <f t="shared" si="87"/>
        <v>21.900000000000013</v>
      </c>
      <c r="AG382" s="4">
        <f t="shared" si="87"/>
        <v>21.500000000000014</v>
      </c>
      <c r="AH382" s="4">
        <f t="shared" si="87"/>
        <v>21.100000000000016</v>
      </c>
      <c r="AI382" s="4">
        <f t="shared" si="87"/>
        <v>20.700000000000017</v>
      </c>
      <c r="AJ382" s="4">
        <f t="shared" si="87"/>
        <v>20.300000000000018</v>
      </c>
      <c r="AK382" s="4">
        <f t="shared" si="87"/>
        <v>19.90000000000002</v>
      </c>
    </row>
    <row r="383" spans="3:37" outlineLevel="1" x14ac:dyDescent="0.25">
      <c r="C383" s="38">
        <v>35.4</v>
      </c>
      <c r="D383" s="4">
        <f t="shared" si="87"/>
        <v>34.9</v>
      </c>
      <c r="E383" s="4">
        <f t="shared" si="87"/>
        <v>34.4</v>
      </c>
      <c r="F383" s="4">
        <f t="shared" si="87"/>
        <v>33.9</v>
      </c>
      <c r="G383" s="4">
        <f t="shared" si="87"/>
        <v>33.4</v>
      </c>
      <c r="H383" s="4">
        <f t="shared" si="87"/>
        <v>32.9</v>
      </c>
      <c r="I383" s="4">
        <f t="shared" si="87"/>
        <v>32.4</v>
      </c>
      <c r="J383" s="4">
        <f t="shared" si="87"/>
        <v>31.9</v>
      </c>
      <c r="K383" s="4">
        <f t="shared" si="87"/>
        <v>31.4</v>
      </c>
      <c r="L383" s="4">
        <f t="shared" si="87"/>
        <v>30.9</v>
      </c>
      <c r="M383" s="4">
        <f t="shared" si="87"/>
        <v>30.4</v>
      </c>
      <c r="N383" s="4">
        <f t="shared" si="87"/>
        <v>29.9</v>
      </c>
      <c r="O383" s="4">
        <f t="shared" si="87"/>
        <v>29.4</v>
      </c>
      <c r="P383" s="4">
        <f t="shared" si="87"/>
        <v>28.9</v>
      </c>
      <c r="Q383" s="4">
        <f t="shared" si="87"/>
        <v>28.4</v>
      </c>
      <c r="R383" s="4">
        <f t="shared" si="87"/>
        <v>27.9</v>
      </c>
      <c r="S383" s="4">
        <f t="shared" si="87"/>
        <v>27.4</v>
      </c>
      <c r="T383" s="4">
        <f t="shared" si="87"/>
        <v>26.9</v>
      </c>
      <c r="U383" s="4">
        <f t="shared" si="87"/>
        <v>26.4</v>
      </c>
      <c r="V383" s="4">
        <f t="shared" si="87"/>
        <v>26</v>
      </c>
      <c r="W383" s="4">
        <f t="shared" si="87"/>
        <v>25.6</v>
      </c>
      <c r="X383" s="4">
        <f t="shared" si="87"/>
        <v>25.200000000000003</v>
      </c>
      <c r="Y383" s="4">
        <f t="shared" si="87"/>
        <v>24.800000000000004</v>
      </c>
      <c r="Z383" s="4">
        <f t="shared" si="87"/>
        <v>24.400000000000006</v>
      </c>
      <c r="AA383" s="4">
        <f t="shared" si="87"/>
        <v>24.000000000000007</v>
      </c>
      <c r="AB383" s="4">
        <f t="shared" si="87"/>
        <v>23.600000000000009</v>
      </c>
      <c r="AC383" s="4">
        <f t="shared" si="87"/>
        <v>23.20000000000001</v>
      </c>
      <c r="AD383" s="4">
        <f t="shared" si="87"/>
        <v>22.800000000000011</v>
      </c>
      <c r="AE383" s="4">
        <f t="shared" si="87"/>
        <v>22.400000000000013</v>
      </c>
      <c r="AF383" s="4">
        <f t="shared" si="87"/>
        <v>22.000000000000014</v>
      </c>
      <c r="AG383" s="4">
        <f t="shared" si="87"/>
        <v>21.600000000000016</v>
      </c>
      <c r="AH383" s="4">
        <f t="shared" si="87"/>
        <v>21.200000000000017</v>
      </c>
      <c r="AI383" s="4">
        <f t="shared" si="87"/>
        <v>20.800000000000018</v>
      </c>
      <c r="AJ383" s="4">
        <f t="shared" si="87"/>
        <v>20.40000000000002</v>
      </c>
      <c r="AK383" s="4">
        <f t="shared" si="87"/>
        <v>20.000000000000021</v>
      </c>
    </row>
    <row r="384" spans="3:37" outlineLevel="1" x14ac:dyDescent="0.25">
      <c r="C384" s="38">
        <v>35.5</v>
      </c>
      <c r="D384" s="4">
        <f t="shared" si="87"/>
        <v>35</v>
      </c>
      <c r="E384" s="4">
        <f t="shared" si="87"/>
        <v>34.5</v>
      </c>
      <c r="F384" s="4">
        <f t="shared" si="87"/>
        <v>34</v>
      </c>
      <c r="G384" s="4">
        <f t="shared" si="87"/>
        <v>33.5</v>
      </c>
      <c r="H384" s="4">
        <f t="shared" si="87"/>
        <v>33</v>
      </c>
      <c r="I384" s="4">
        <f t="shared" si="87"/>
        <v>32.5</v>
      </c>
      <c r="J384" s="4">
        <f t="shared" si="87"/>
        <v>32</v>
      </c>
      <c r="K384" s="4">
        <f t="shared" si="87"/>
        <v>31.5</v>
      </c>
      <c r="L384" s="4">
        <f t="shared" si="87"/>
        <v>31</v>
      </c>
      <c r="M384" s="4">
        <f t="shared" si="87"/>
        <v>30.5</v>
      </c>
      <c r="N384" s="4">
        <f t="shared" si="87"/>
        <v>30</v>
      </c>
      <c r="O384" s="4">
        <f t="shared" si="87"/>
        <v>29.5</v>
      </c>
      <c r="P384" s="4">
        <f t="shared" si="87"/>
        <v>29</v>
      </c>
      <c r="Q384" s="4">
        <f t="shared" si="87"/>
        <v>28.5</v>
      </c>
      <c r="R384" s="4">
        <f t="shared" si="87"/>
        <v>28</v>
      </c>
      <c r="S384" s="4">
        <f t="shared" si="87"/>
        <v>27.5</v>
      </c>
      <c r="T384" s="4">
        <f t="shared" si="87"/>
        <v>27</v>
      </c>
      <c r="U384" s="4">
        <f t="shared" ref="U384:AK384" si="88">(IF(T384&lt;=4.4,T384-$E$6,IF(AND(T384&gt;=4.5,T384&lt;=11.4),T384-$E$7,IF(AND(T384&gt;=11.5,T384&lt;=18.4),T384-$E$8,IF(AND(T384&gt;=18.5,T384&lt;=26.4),T384-$E$9,IF(AND(T384&gt;=26.4,T384&lt;=36),T384-$E$10,IF(T384&gt;=37,T384-$E$11)))))))</f>
        <v>26.5</v>
      </c>
      <c r="V384" s="4">
        <f t="shared" si="88"/>
        <v>26</v>
      </c>
      <c r="W384" s="4">
        <f t="shared" si="88"/>
        <v>25.6</v>
      </c>
      <c r="X384" s="4">
        <f t="shared" si="88"/>
        <v>25.200000000000003</v>
      </c>
      <c r="Y384" s="4">
        <f t="shared" si="88"/>
        <v>24.800000000000004</v>
      </c>
      <c r="Z384" s="4">
        <f t="shared" si="88"/>
        <v>24.400000000000006</v>
      </c>
      <c r="AA384" s="4">
        <f t="shared" si="88"/>
        <v>24.000000000000007</v>
      </c>
      <c r="AB384" s="4">
        <f t="shared" si="88"/>
        <v>23.600000000000009</v>
      </c>
      <c r="AC384" s="4">
        <f t="shared" si="88"/>
        <v>23.20000000000001</v>
      </c>
      <c r="AD384" s="4">
        <f t="shared" si="88"/>
        <v>22.800000000000011</v>
      </c>
      <c r="AE384" s="4">
        <f t="shared" si="88"/>
        <v>22.400000000000013</v>
      </c>
      <c r="AF384" s="4">
        <f t="shared" si="88"/>
        <v>22.000000000000014</v>
      </c>
      <c r="AG384" s="4">
        <f t="shared" si="88"/>
        <v>21.600000000000016</v>
      </c>
      <c r="AH384" s="4">
        <f t="shared" si="88"/>
        <v>21.200000000000017</v>
      </c>
      <c r="AI384" s="4">
        <f t="shared" si="88"/>
        <v>20.800000000000018</v>
      </c>
      <c r="AJ384" s="4">
        <f t="shared" si="88"/>
        <v>20.40000000000002</v>
      </c>
      <c r="AK384" s="4">
        <f t="shared" si="88"/>
        <v>20.000000000000021</v>
      </c>
    </row>
    <row r="385" spans="3:37" outlineLevel="1" x14ac:dyDescent="0.25">
      <c r="C385" s="38">
        <v>35.6</v>
      </c>
      <c r="D385" s="4">
        <f t="shared" ref="D385:AK389" si="89">(IF(C385&lt;=4.4,C385-$E$6,IF(AND(C385&gt;=4.5,C385&lt;=11.4),C385-$E$7,IF(AND(C385&gt;=11.5,C385&lt;=18.4),C385-$E$8,IF(AND(C385&gt;=18.5,C385&lt;=26.4),C385-$E$9,IF(AND(C385&gt;=26.4,C385&lt;=36),C385-$E$10,IF(C385&gt;=37,C385-$E$11)))))))</f>
        <v>35.1</v>
      </c>
      <c r="E385" s="4">
        <f t="shared" si="89"/>
        <v>34.6</v>
      </c>
      <c r="F385" s="4">
        <f t="shared" si="89"/>
        <v>34.1</v>
      </c>
      <c r="G385" s="4">
        <f t="shared" si="89"/>
        <v>33.6</v>
      </c>
      <c r="H385" s="4">
        <f t="shared" si="89"/>
        <v>33.1</v>
      </c>
      <c r="I385" s="4">
        <f t="shared" si="89"/>
        <v>32.6</v>
      </c>
      <c r="J385" s="4">
        <f t="shared" si="89"/>
        <v>32.1</v>
      </c>
      <c r="K385" s="4">
        <f t="shared" si="89"/>
        <v>31.6</v>
      </c>
      <c r="L385" s="4">
        <f t="shared" si="89"/>
        <v>31.1</v>
      </c>
      <c r="M385" s="4">
        <f t="shared" si="89"/>
        <v>30.6</v>
      </c>
      <c r="N385" s="4">
        <f t="shared" si="89"/>
        <v>30.1</v>
      </c>
      <c r="O385" s="4">
        <f t="shared" si="89"/>
        <v>29.6</v>
      </c>
      <c r="P385" s="4">
        <f t="shared" si="89"/>
        <v>29.1</v>
      </c>
      <c r="Q385" s="4">
        <f t="shared" si="89"/>
        <v>28.6</v>
      </c>
      <c r="R385" s="4">
        <f t="shared" si="89"/>
        <v>28.1</v>
      </c>
      <c r="S385" s="4">
        <f t="shared" si="89"/>
        <v>27.6</v>
      </c>
      <c r="T385" s="4">
        <f t="shared" si="89"/>
        <v>27.1</v>
      </c>
      <c r="U385" s="4">
        <f t="shared" si="89"/>
        <v>26.6</v>
      </c>
      <c r="V385" s="4">
        <f t="shared" si="89"/>
        <v>26.1</v>
      </c>
      <c r="W385" s="4">
        <f t="shared" si="89"/>
        <v>25.700000000000003</v>
      </c>
      <c r="X385" s="4">
        <f t="shared" si="89"/>
        <v>25.300000000000004</v>
      </c>
      <c r="Y385" s="4">
        <f t="shared" si="89"/>
        <v>24.900000000000006</v>
      </c>
      <c r="Z385" s="4">
        <f t="shared" si="89"/>
        <v>24.500000000000007</v>
      </c>
      <c r="AA385" s="4">
        <f t="shared" si="89"/>
        <v>24.100000000000009</v>
      </c>
      <c r="AB385" s="4">
        <f t="shared" si="89"/>
        <v>23.70000000000001</v>
      </c>
      <c r="AC385" s="4">
        <f t="shared" si="89"/>
        <v>23.300000000000011</v>
      </c>
      <c r="AD385" s="4">
        <f t="shared" si="89"/>
        <v>22.900000000000013</v>
      </c>
      <c r="AE385" s="4">
        <f t="shared" si="89"/>
        <v>22.500000000000014</v>
      </c>
      <c r="AF385" s="4">
        <f t="shared" si="89"/>
        <v>22.100000000000016</v>
      </c>
      <c r="AG385" s="4">
        <f t="shared" si="89"/>
        <v>21.700000000000017</v>
      </c>
      <c r="AH385" s="4">
        <f t="shared" si="89"/>
        <v>21.300000000000018</v>
      </c>
      <c r="AI385" s="4">
        <f t="shared" si="89"/>
        <v>20.90000000000002</v>
      </c>
      <c r="AJ385" s="4">
        <f t="shared" si="89"/>
        <v>20.500000000000021</v>
      </c>
      <c r="AK385" s="4">
        <f t="shared" si="89"/>
        <v>20.100000000000023</v>
      </c>
    </row>
    <row r="386" spans="3:37" outlineLevel="1" x14ac:dyDescent="0.25">
      <c r="C386" s="38">
        <v>35.700000000000003</v>
      </c>
      <c r="D386" s="4">
        <f t="shared" si="89"/>
        <v>35.200000000000003</v>
      </c>
      <c r="E386" s="4">
        <f t="shared" si="89"/>
        <v>34.700000000000003</v>
      </c>
      <c r="F386" s="4">
        <f t="shared" si="89"/>
        <v>34.200000000000003</v>
      </c>
      <c r="G386" s="4">
        <f t="shared" si="89"/>
        <v>33.700000000000003</v>
      </c>
      <c r="H386" s="4">
        <f t="shared" si="89"/>
        <v>33.200000000000003</v>
      </c>
      <c r="I386" s="4">
        <f t="shared" si="89"/>
        <v>32.700000000000003</v>
      </c>
      <c r="J386" s="4">
        <f t="shared" si="89"/>
        <v>32.200000000000003</v>
      </c>
      <c r="K386" s="4">
        <f t="shared" si="89"/>
        <v>31.700000000000003</v>
      </c>
      <c r="L386" s="4">
        <f t="shared" si="89"/>
        <v>31.200000000000003</v>
      </c>
      <c r="M386" s="4">
        <f t="shared" si="89"/>
        <v>30.700000000000003</v>
      </c>
      <c r="N386" s="4">
        <f t="shared" si="89"/>
        <v>30.200000000000003</v>
      </c>
      <c r="O386" s="4">
        <f t="shared" si="89"/>
        <v>29.700000000000003</v>
      </c>
      <c r="P386" s="4">
        <f t="shared" si="89"/>
        <v>29.200000000000003</v>
      </c>
      <c r="Q386" s="4">
        <f t="shared" si="89"/>
        <v>28.700000000000003</v>
      </c>
      <c r="R386" s="4">
        <f t="shared" si="89"/>
        <v>28.200000000000003</v>
      </c>
      <c r="S386" s="4">
        <f t="shared" si="89"/>
        <v>27.700000000000003</v>
      </c>
      <c r="T386" s="4">
        <f t="shared" si="89"/>
        <v>27.200000000000003</v>
      </c>
      <c r="U386" s="4">
        <f t="shared" si="89"/>
        <v>26.700000000000003</v>
      </c>
      <c r="V386" s="4">
        <f t="shared" si="89"/>
        <v>26.200000000000003</v>
      </c>
      <c r="W386" s="4">
        <f t="shared" si="89"/>
        <v>25.800000000000004</v>
      </c>
      <c r="X386" s="4">
        <f t="shared" si="89"/>
        <v>25.400000000000006</v>
      </c>
      <c r="Y386" s="4">
        <f t="shared" si="89"/>
        <v>25.000000000000007</v>
      </c>
      <c r="Z386" s="4">
        <f t="shared" si="89"/>
        <v>24.600000000000009</v>
      </c>
      <c r="AA386" s="4">
        <f t="shared" si="89"/>
        <v>24.20000000000001</v>
      </c>
      <c r="AB386" s="4">
        <f t="shared" si="89"/>
        <v>23.800000000000011</v>
      </c>
      <c r="AC386" s="4">
        <f t="shared" si="89"/>
        <v>23.400000000000013</v>
      </c>
      <c r="AD386" s="4">
        <f t="shared" si="89"/>
        <v>23.000000000000014</v>
      </c>
      <c r="AE386" s="4">
        <f t="shared" si="89"/>
        <v>22.600000000000016</v>
      </c>
      <c r="AF386" s="4">
        <f t="shared" si="89"/>
        <v>22.200000000000017</v>
      </c>
      <c r="AG386" s="4">
        <f t="shared" si="89"/>
        <v>21.800000000000018</v>
      </c>
      <c r="AH386" s="4">
        <f t="shared" si="89"/>
        <v>21.40000000000002</v>
      </c>
      <c r="AI386" s="4">
        <f t="shared" si="89"/>
        <v>21.000000000000021</v>
      </c>
      <c r="AJ386" s="4">
        <f t="shared" si="89"/>
        <v>20.600000000000023</v>
      </c>
      <c r="AK386" s="4">
        <f t="shared" si="89"/>
        <v>20.200000000000024</v>
      </c>
    </row>
    <row r="387" spans="3:37" outlineLevel="1" x14ac:dyDescent="0.25">
      <c r="C387" s="38">
        <v>35.799999999999997</v>
      </c>
      <c r="D387" s="4">
        <f t="shared" si="89"/>
        <v>35.299999999999997</v>
      </c>
      <c r="E387" s="4">
        <f t="shared" si="89"/>
        <v>34.799999999999997</v>
      </c>
      <c r="F387" s="4">
        <f t="shared" si="89"/>
        <v>34.299999999999997</v>
      </c>
      <c r="G387" s="4">
        <f t="shared" si="89"/>
        <v>33.799999999999997</v>
      </c>
      <c r="H387" s="4">
        <f t="shared" si="89"/>
        <v>33.299999999999997</v>
      </c>
      <c r="I387" s="4">
        <f t="shared" si="89"/>
        <v>32.799999999999997</v>
      </c>
      <c r="J387" s="4">
        <f t="shared" si="89"/>
        <v>32.299999999999997</v>
      </c>
      <c r="K387" s="4">
        <f t="shared" si="89"/>
        <v>31.799999999999997</v>
      </c>
      <c r="L387" s="4">
        <f t="shared" si="89"/>
        <v>31.299999999999997</v>
      </c>
      <c r="M387" s="4">
        <f t="shared" si="89"/>
        <v>30.799999999999997</v>
      </c>
      <c r="N387" s="4">
        <f t="shared" si="89"/>
        <v>30.299999999999997</v>
      </c>
      <c r="O387" s="4">
        <f t="shared" si="89"/>
        <v>29.799999999999997</v>
      </c>
      <c r="P387" s="4">
        <f t="shared" si="89"/>
        <v>29.299999999999997</v>
      </c>
      <c r="Q387" s="4">
        <f t="shared" si="89"/>
        <v>28.799999999999997</v>
      </c>
      <c r="R387" s="4">
        <f t="shared" si="89"/>
        <v>28.299999999999997</v>
      </c>
      <c r="S387" s="4">
        <f t="shared" si="89"/>
        <v>27.799999999999997</v>
      </c>
      <c r="T387" s="4">
        <f t="shared" si="89"/>
        <v>27.299999999999997</v>
      </c>
      <c r="U387" s="4">
        <f t="shared" si="89"/>
        <v>26.799999999999997</v>
      </c>
      <c r="V387" s="4">
        <f t="shared" si="89"/>
        <v>26.299999999999997</v>
      </c>
      <c r="W387" s="4">
        <f t="shared" si="89"/>
        <v>25.9</v>
      </c>
      <c r="X387" s="4">
        <f t="shared" si="89"/>
        <v>25.5</v>
      </c>
      <c r="Y387" s="4">
        <f t="shared" si="89"/>
        <v>25.1</v>
      </c>
      <c r="Z387" s="4">
        <f t="shared" si="89"/>
        <v>24.700000000000003</v>
      </c>
      <c r="AA387" s="4">
        <f t="shared" si="89"/>
        <v>24.300000000000004</v>
      </c>
      <c r="AB387" s="4">
        <f t="shared" si="89"/>
        <v>23.900000000000006</v>
      </c>
      <c r="AC387" s="4">
        <f t="shared" si="89"/>
        <v>23.500000000000007</v>
      </c>
      <c r="AD387" s="4">
        <f t="shared" si="89"/>
        <v>23.100000000000009</v>
      </c>
      <c r="AE387" s="4">
        <f t="shared" si="89"/>
        <v>22.70000000000001</v>
      </c>
      <c r="AF387" s="4">
        <f t="shared" si="89"/>
        <v>22.300000000000011</v>
      </c>
      <c r="AG387" s="4">
        <f t="shared" si="89"/>
        <v>21.900000000000013</v>
      </c>
      <c r="AH387" s="4">
        <f t="shared" si="89"/>
        <v>21.500000000000014</v>
      </c>
      <c r="AI387" s="4">
        <f t="shared" si="89"/>
        <v>21.100000000000016</v>
      </c>
      <c r="AJ387" s="4">
        <f t="shared" si="89"/>
        <v>20.700000000000017</v>
      </c>
      <c r="AK387" s="4">
        <f t="shared" si="89"/>
        <v>20.300000000000018</v>
      </c>
    </row>
    <row r="388" spans="3:37" outlineLevel="1" x14ac:dyDescent="0.25">
      <c r="C388" s="38">
        <v>35.9</v>
      </c>
      <c r="D388" s="4">
        <f t="shared" si="89"/>
        <v>35.4</v>
      </c>
      <c r="E388" s="4">
        <f t="shared" si="89"/>
        <v>34.9</v>
      </c>
      <c r="F388" s="4">
        <f t="shared" si="89"/>
        <v>34.4</v>
      </c>
      <c r="G388" s="4">
        <f t="shared" si="89"/>
        <v>33.9</v>
      </c>
      <c r="H388" s="4">
        <f t="shared" si="89"/>
        <v>33.4</v>
      </c>
      <c r="I388" s="4">
        <f t="shared" si="89"/>
        <v>32.9</v>
      </c>
      <c r="J388" s="4">
        <f t="shared" si="89"/>
        <v>32.4</v>
      </c>
      <c r="K388" s="4">
        <f t="shared" si="89"/>
        <v>31.9</v>
      </c>
      <c r="L388" s="4">
        <f t="shared" si="89"/>
        <v>31.4</v>
      </c>
      <c r="M388" s="4">
        <f t="shared" si="89"/>
        <v>30.9</v>
      </c>
      <c r="N388" s="4">
        <f t="shared" si="89"/>
        <v>30.4</v>
      </c>
      <c r="O388" s="4">
        <f t="shared" si="89"/>
        <v>29.9</v>
      </c>
      <c r="P388" s="4">
        <f t="shared" si="89"/>
        <v>29.4</v>
      </c>
      <c r="Q388" s="4">
        <f t="shared" si="89"/>
        <v>28.9</v>
      </c>
      <c r="R388" s="4">
        <f t="shared" si="89"/>
        <v>28.4</v>
      </c>
      <c r="S388" s="4">
        <f t="shared" si="89"/>
        <v>27.9</v>
      </c>
      <c r="T388" s="4">
        <f t="shared" si="89"/>
        <v>27.4</v>
      </c>
      <c r="U388" s="4">
        <f t="shared" si="89"/>
        <v>26.9</v>
      </c>
      <c r="V388" s="4">
        <f t="shared" si="89"/>
        <v>26.4</v>
      </c>
      <c r="W388" s="4">
        <f t="shared" si="89"/>
        <v>26</v>
      </c>
      <c r="X388" s="4">
        <f t="shared" si="89"/>
        <v>25.6</v>
      </c>
      <c r="Y388" s="4">
        <f t="shared" si="89"/>
        <v>25.200000000000003</v>
      </c>
      <c r="Z388" s="4">
        <f t="shared" si="89"/>
        <v>24.800000000000004</v>
      </c>
      <c r="AA388" s="4">
        <f t="shared" si="89"/>
        <v>24.400000000000006</v>
      </c>
      <c r="AB388" s="4">
        <f t="shared" si="89"/>
        <v>24.000000000000007</v>
      </c>
      <c r="AC388" s="4">
        <f t="shared" si="89"/>
        <v>23.600000000000009</v>
      </c>
      <c r="AD388" s="4">
        <f t="shared" si="89"/>
        <v>23.20000000000001</v>
      </c>
      <c r="AE388" s="4">
        <f t="shared" si="89"/>
        <v>22.800000000000011</v>
      </c>
      <c r="AF388" s="4">
        <f t="shared" si="89"/>
        <v>22.400000000000013</v>
      </c>
      <c r="AG388" s="4">
        <f t="shared" si="89"/>
        <v>22.000000000000014</v>
      </c>
      <c r="AH388" s="4">
        <f t="shared" si="89"/>
        <v>21.600000000000016</v>
      </c>
      <c r="AI388" s="4">
        <f t="shared" si="89"/>
        <v>21.200000000000017</v>
      </c>
      <c r="AJ388" s="4">
        <f t="shared" si="89"/>
        <v>20.800000000000018</v>
      </c>
      <c r="AK388" s="4">
        <f t="shared" si="89"/>
        <v>20.40000000000002</v>
      </c>
    </row>
    <row r="389" spans="3:37" ht="15.75" outlineLevel="1" thickBot="1" x14ac:dyDescent="0.3">
      <c r="C389" s="39">
        <v>36</v>
      </c>
      <c r="D389" s="4">
        <f t="shared" si="89"/>
        <v>35.5</v>
      </c>
      <c r="E389" s="4">
        <f t="shared" si="89"/>
        <v>35</v>
      </c>
      <c r="F389" s="4">
        <f t="shared" si="89"/>
        <v>34.5</v>
      </c>
      <c r="G389" s="4">
        <f t="shared" si="89"/>
        <v>34</v>
      </c>
      <c r="H389" s="4">
        <f t="shared" si="89"/>
        <v>33.5</v>
      </c>
      <c r="I389" s="4">
        <f t="shared" si="89"/>
        <v>33</v>
      </c>
      <c r="J389" s="4">
        <f t="shared" si="89"/>
        <v>32.5</v>
      </c>
      <c r="K389" s="4">
        <f t="shared" si="89"/>
        <v>32</v>
      </c>
      <c r="L389" s="4">
        <f t="shared" si="89"/>
        <v>31.5</v>
      </c>
      <c r="M389" s="4">
        <f t="shared" si="89"/>
        <v>31</v>
      </c>
      <c r="N389" s="4">
        <f t="shared" si="89"/>
        <v>30.5</v>
      </c>
      <c r="O389" s="4">
        <f t="shared" si="89"/>
        <v>30</v>
      </c>
      <c r="P389" s="4">
        <f t="shared" si="89"/>
        <v>29.5</v>
      </c>
      <c r="Q389" s="4">
        <f t="shared" si="89"/>
        <v>29</v>
      </c>
      <c r="R389" s="4">
        <f t="shared" si="89"/>
        <v>28.5</v>
      </c>
      <c r="S389" s="4">
        <f t="shared" si="89"/>
        <v>28</v>
      </c>
      <c r="T389" s="4">
        <f t="shared" si="89"/>
        <v>27.5</v>
      </c>
      <c r="U389" s="4">
        <f t="shared" si="89"/>
        <v>27</v>
      </c>
      <c r="V389" s="4">
        <f t="shared" si="89"/>
        <v>26.5</v>
      </c>
      <c r="W389" s="4">
        <f t="shared" si="89"/>
        <v>26</v>
      </c>
      <c r="X389" s="4">
        <f t="shared" si="89"/>
        <v>25.6</v>
      </c>
      <c r="Y389" s="4">
        <f t="shared" si="89"/>
        <v>25.200000000000003</v>
      </c>
      <c r="Z389" s="4">
        <f t="shared" si="89"/>
        <v>24.800000000000004</v>
      </c>
      <c r="AA389" s="4">
        <f t="shared" si="89"/>
        <v>24.400000000000006</v>
      </c>
      <c r="AB389" s="4">
        <f t="shared" si="89"/>
        <v>24.000000000000007</v>
      </c>
      <c r="AC389" s="4">
        <f t="shared" si="89"/>
        <v>23.600000000000009</v>
      </c>
      <c r="AD389" s="4">
        <f t="shared" si="89"/>
        <v>23.20000000000001</v>
      </c>
      <c r="AE389" s="4">
        <f t="shared" si="89"/>
        <v>22.800000000000011</v>
      </c>
      <c r="AF389" s="4">
        <f t="shared" si="89"/>
        <v>22.400000000000013</v>
      </c>
      <c r="AG389" s="4">
        <f t="shared" si="89"/>
        <v>22.000000000000014</v>
      </c>
      <c r="AH389" s="4">
        <f t="shared" si="89"/>
        <v>21.600000000000016</v>
      </c>
      <c r="AI389" s="4">
        <f t="shared" si="89"/>
        <v>21.200000000000017</v>
      </c>
      <c r="AJ389" s="4">
        <f t="shared" si="89"/>
        <v>20.800000000000018</v>
      </c>
      <c r="AK389" s="4">
        <f t="shared" si="89"/>
        <v>20.40000000000002</v>
      </c>
    </row>
    <row r="390" spans="3:37" outlineLevel="1" x14ac:dyDescent="0.25"/>
    <row r="393" spans="3:37" ht="15.75" thickBot="1" x14ac:dyDescent="0.3"/>
    <row r="394" spans="3:37" ht="15.75" thickBot="1" x14ac:dyDescent="0.3">
      <c r="C394" s="33" t="s">
        <v>3</v>
      </c>
      <c r="D394" s="40" t="s">
        <v>7</v>
      </c>
    </row>
    <row r="395" spans="3:37" x14ac:dyDescent="0.25">
      <c r="C395" s="37">
        <v>0</v>
      </c>
      <c r="D395" s="4">
        <f>(IF(C395&lt;=4.4,C395+$D$6,IF(AND(C395&gt;=4.5,C395&lt;=11.4),C395+$D$7,IF(AND(C395&gt;=11.5,C395&lt;=18.4),C395+$D$8,IF(AND(C395&gt;=18.5,C395&lt;=26.4),C395+$D$9,IF(AND(C395&gt;=26.4,C395&lt;=36),C395+$D$10,IF(C395&gt;=37,C395+$D$11)))))))</f>
        <v>0.1</v>
      </c>
    </row>
    <row r="396" spans="3:37" x14ac:dyDescent="0.25">
      <c r="C396" s="38">
        <v>0.1</v>
      </c>
      <c r="D396" s="4">
        <f t="shared" ref="D396:D459" si="90">(IF(C396&lt;=4.4,C396+$D$6,IF(AND(C396&gt;=4.5,C396&lt;=11.4),C396+$D$7,IF(AND(C396&gt;=11.5,C396&lt;=18.4),C396+$D$8,IF(AND(C396&gt;=18.5,C396&lt;=26.4),C396+$D$9,IF(AND(C396&gt;=26.4,C396&lt;=36),C396+$D$10,IF(C396&gt;=37,C396+$D$11)))))))</f>
        <v>0.2</v>
      </c>
    </row>
    <row r="397" spans="3:37" x14ac:dyDescent="0.25">
      <c r="C397" s="38">
        <v>0.2</v>
      </c>
      <c r="D397" s="4">
        <f t="shared" si="90"/>
        <v>0.30000000000000004</v>
      </c>
    </row>
    <row r="398" spans="3:37" x14ac:dyDescent="0.25">
      <c r="C398" s="38">
        <v>0.3</v>
      </c>
      <c r="D398" s="4">
        <f t="shared" si="90"/>
        <v>0.4</v>
      </c>
    </row>
    <row r="399" spans="3:37" x14ac:dyDescent="0.25">
      <c r="C399" s="38">
        <v>0.4</v>
      </c>
      <c r="D399" s="4">
        <f t="shared" si="90"/>
        <v>0.5</v>
      </c>
    </row>
    <row r="400" spans="3:37" x14ac:dyDescent="0.25">
      <c r="C400" s="38">
        <v>0.5</v>
      </c>
      <c r="D400" s="4">
        <f t="shared" si="90"/>
        <v>0.6</v>
      </c>
    </row>
    <row r="401" spans="3:4" x14ac:dyDescent="0.25">
      <c r="C401" s="38">
        <v>0.6</v>
      </c>
      <c r="D401" s="4">
        <f t="shared" si="90"/>
        <v>0.7</v>
      </c>
    </row>
    <row r="402" spans="3:4" x14ac:dyDescent="0.25">
      <c r="C402" s="38">
        <v>0.7</v>
      </c>
      <c r="D402" s="4">
        <f t="shared" si="90"/>
        <v>0.79999999999999993</v>
      </c>
    </row>
    <row r="403" spans="3:4" x14ac:dyDescent="0.25">
      <c r="C403" s="38">
        <v>0.8</v>
      </c>
      <c r="D403" s="4">
        <f t="shared" si="90"/>
        <v>0.9</v>
      </c>
    </row>
    <row r="404" spans="3:4" x14ac:dyDescent="0.25">
      <c r="C404" s="38">
        <v>0.9</v>
      </c>
      <c r="D404" s="4">
        <f t="shared" si="90"/>
        <v>1</v>
      </c>
    </row>
    <row r="405" spans="3:4" x14ac:dyDescent="0.25">
      <c r="C405" s="38">
        <v>1</v>
      </c>
      <c r="D405" s="4">
        <f t="shared" si="90"/>
        <v>1.1000000000000001</v>
      </c>
    </row>
    <row r="406" spans="3:4" x14ac:dyDescent="0.25">
      <c r="C406" s="38">
        <v>1.1000000000000001</v>
      </c>
      <c r="D406" s="4">
        <f t="shared" si="90"/>
        <v>1.2000000000000002</v>
      </c>
    </row>
    <row r="407" spans="3:4" x14ac:dyDescent="0.25">
      <c r="C407" s="38">
        <v>1.2</v>
      </c>
      <c r="D407" s="4">
        <f t="shared" si="90"/>
        <v>1.3</v>
      </c>
    </row>
    <row r="408" spans="3:4" x14ac:dyDescent="0.25">
      <c r="C408" s="38">
        <v>1.3</v>
      </c>
      <c r="D408" s="4">
        <f t="shared" si="90"/>
        <v>1.4000000000000001</v>
      </c>
    </row>
    <row r="409" spans="3:4" x14ac:dyDescent="0.25">
      <c r="C409" s="38">
        <v>1.4</v>
      </c>
      <c r="D409" s="4">
        <f t="shared" si="90"/>
        <v>1.5</v>
      </c>
    </row>
    <row r="410" spans="3:4" x14ac:dyDescent="0.25">
      <c r="C410" s="38">
        <v>1.5</v>
      </c>
      <c r="D410" s="4">
        <f t="shared" si="90"/>
        <v>1.6</v>
      </c>
    </row>
    <row r="411" spans="3:4" x14ac:dyDescent="0.25">
      <c r="C411" s="38">
        <v>1.6</v>
      </c>
      <c r="D411" s="4">
        <f t="shared" si="90"/>
        <v>1.7000000000000002</v>
      </c>
    </row>
    <row r="412" spans="3:4" x14ac:dyDescent="0.25">
      <c r="C412" s="38">
        <v>1.7</v>
      </c>
      <c r="D412" s="4">
        <f t="shared" si="90"/>
        <v>1.8</v>
      </c>
    </row>
    <row r="413" spans="3:4" x14ac:dyDescent="0.25">
      <c r="C413" s="38">
        <v>1.8</v>
      </c>
      <c r="D413" s="4">
        <f t="shared" si="90"/>
        <v>1.9000000000000001</v>
      </c>
    </row>
    <row r="414" spans="3:4" x14ac:dyDescent="0.25">
      <c r="C414" s="38">
        <v>1.9</v>
      </c>
      <c r="D414" s="4">
        <f t="shared" si="90"/>
        <v>2</v>
      </c>
    </row>
    <row r="415" spans="3:4" x14ac:dyDescent="0.25">
      <c r="C415" s="38">
        <v>2</v>
      </c>
      <c r="D415" s="4">
        <f t="shared" si="90"/>
        <v>2.1</v>
      </c>
    </row>
    <row r="416" spans="3:4" x14ac:dyDescent="0.25">
      <c r="C416" s="38">
        <v>2.1</v>
      </c>
      <c r="D416" s="4">
        <f t="shared" si="90"/>
        <v>2.2000000000000002</v>
      </c>
    </row>
    <row r="417" spans="3:4" x14ac:dyDescent="0.25">
      <c r="C417" s="38">
        <v>2.2000000000000002</v>
      </c>
      <c r="D417" s="4">
        <f t="shared" si="90"/>
        <v>2.3000000000000003</v>
      </c>
    </row>
    <row r="418" spans="3:4" x14ac:dyDescent="0.25">
      <c r="C418" s="38">
        <v>2.2999999999999998</v>
      </c>
      <c r="D418" s="4">
        <f t="shared" si="90"/>
        <v>2.4</v>
      </c>
    </row>
    <row r="419" spans="3:4" x14ac:dyDescent="0.25">
      <c r="C419" s="38">
        <v>2.4</v>
      </c>
      <c r="D419" s="4">
        <f t="shared" si="90"/>
        <v>2.5</v>
      </c>
    </row>
    <row r="420" spans="3:4" x14ac:dyDescent="0.25">
      <c r="C420" s="38">
        <v>2.5</v>
      </c>
      <c r="D420" s="4">
        <f t="shared" si="90"/>
        <v>2.6</v>
      </c>
    </row>
    <row r="421" spans="3:4" x14ac:dyDescent="0.25">
      <c r="C421" s="38">
        <v>2.6</v>
      </c>
      <c r="D421" s="4">
        <f t="shared" si="90"/>
        <v>2.7</v>
      </c>
    </row>
    <row r="422" spans="3:4" x14ac:dyDescent="0.25">
      <c r="C422" s="38">
        <v>2.7</v>
      </c>
      <c r="D422" s="4">
        <f t="shared" si="90"/>
        <v>2.8000000000000003</v>
      </c>
    </row>
    <row r="423" spans="3:4" x14ac:dyDescent="0.25">
      <c r="C423" s="38">
        <v>2.8</v>
      </c>
      <c r="D423" s="4">
        <f t="shared" si="90"/>
        <v>2.9</v>
      </c>
    </row>
    <row r="424" spans="3:4" x14ac:dyDescent="0.25">
      <c r="C424" s="38">
        <v>2.9</v>
      </c>
      <c r="D424" s="4">
        <f t="shared" si="90"/>
        <v>3</v>
      </c>
    </row>
    <row r="425" spans="3:4" x14ac:dyDescent="0.25">
      <c r="C425" s="38">
        <v>3</v>
      </c>
      <c r="D425" s="4">
        <f t="shared" si="90"/>
        <v>3.1</v>
      </c>
    </row>
    <row r="426" spans="3:4" x14ac:dyDescent="0.25">
      <c r="C426" s="38">
        <v>3.1</v>
      </c>
      <c r="D426" s="4">
        <f t="shared" si="90"/>
        <v>3.2</v>
      </c>
    </row>
    <row r="427" spans="3:4" x14ac:dyDescent="0.25">
      <c r="C427" s="38">
        <v>3.2</v>
      </c>
      <c r="D427" s="4">
        <f t="shared" si="90"/>
        <v>3.3000000000000003</v>
      </c>
    </row>
    <row r="428" spans="3:4" x14ac:dyDescent="0.25">
      <c r="C428" s="38">
        <v>3.3</v>
      </c>
      <c r="D428" s="4">
        <f t="shared" si="90"/>
        <v>3.4</v>
      </c>
    </row>
    <row r="429" spans="3:4" x14ac:dyDescent="0.25">
      <c r="C429" s="38">
        <v>3.4</v>
      </c>
      <c r="D429" s="4">
        <f t="shared" si="90"/>
        <v>3.5</v>
      </c>
    </row>
    <row r="430" spans="3:4" x14ac:dyDescent="0.25">
      <c r="C430" s="38">
        <v>3.5</v>
      </c>
      <c r="D430" s="4">
        <f t="shared" si="90"/>
        <v>3.6</v>
      </c>
    </row>
    <row r="431" spans="3:4" x14ac:dyDescent="0.25">
      <c r="C431" s="38">
        <v>3.6</v>
      </c>
      <c r="D431" s="4">
        <f t="shared" si="90"/>
        <v>3.7</v>
      </c>
    </row>
    <row r="432" spans="3:4" x14ac:dyDescent="0.25">
      <c r="C432" s="38">
        <v>3.7</v>
      </c>
      <c r="D432" s="4">
        <f t="shared" si="90"/>
        <v>3.8000000000000003</v>
      </c>
    </row>
    <row r="433" spans="3:4" x14ac:dyDescent="0.25">
      <c r="C433" s="38">
        <v>3.8</v>
      </c>
      <c r="D433" s="4">
        <f t="shared" si="90"/>
        <v>3.9</v>
      </c>
    </row>
    <row r="434" spans="3:4" x14ac:dyDescent="0.25">
      <c r="C434" s="38">
        <v>3.9</v>
      </c>
      <c r="D434" s="4">
        <f t="shared" si="90"/>
        <v>4</v>
      </c>
    </row>
    <row r="435" spans="3:4" x14ac:dyDescent="0.25">
      <c r="C435" s="38">
        <v>4</v>
      </c>
      <c r="D435" s="4">
        <f t="shared" si="90"/>
        <v>4.0999999999999996</v>
      </c>
    </row>
    <row r="436" spans="3:4" x14ac:dyDescent="0.25">
      <c r="C436" s="38">
        <v>4.0999999999999996</v>
      </c>
      <c r="D436" s="4">
        <f t="shared" si="90"/>
        <v>4.1999999999999993</v>
      </c>
    </row>
    <row r="437" spans="3:4" x14ac:dyDescent="0.25">
      <c r="C437" s="38">
        <v>4.2</v>
      </c>
      <c r="D437" s="4">
        <f t="shared" si="90"/>
        <v>4.3</v>
      </c>
    </row>
    <row r="438" spans="3:4" x14ac:dyDescent="0.25">
      <c r="C438" s="38">
        <v>4.3</v>
      </c>
      <c r="D438" s="4">
        <f t="shared" si="90"/>
        <v>4.3999999999999995</v>
      </c>
    </row>
    <row r="439" spans="3:4" x14ac:dyDescent="0.25">
      <c r="C439" s="38">
        <v>4.4000000000000004</v>
      </c>
      <c r="D439" s="4">
        <f t="shared" si="90"/>
        <v>4.5</v>
      </c>
    </row>
    <row r="440" spans="3:4" x14ac:dyDescent="0.25">
      <c r="C440" s="38">
        <v>4.5</v>
      </c>
      <c r="D440" s="4">
        <f t="shared" si="90"/>
        <v>4.5999999999999996</v>
      </c>
    </row>
    <row r="441" spans="3:4" x14ac:dyDescent="0.25">
      <c r="C441" s="38">
        <v>4.5999999999999996</v>
      </c>
      <c r="D441" s="4">
        <f t="shared" si="90"/>
        <v>4.6999999999999993</v>
      </c>
    </row>
    <row r="442" spans="3:4" x14ac:dyDescent="0.25">
      <c r="C442" s="38">
        <v>4.7</v>
      </c>
      <c r="D442" s="4">
        <f t="shared" si="90"/>
        <v>4.8</v>
      </c>
    </row>
    <row r="443" spans="3:4" x14ac:dyDescent="0.25">
      <c r="C443" s="38">
        <v>4.8</v>
      </c>
      <c r="D443" s="4">
        <f t="shared" si="90"/>
        <v>4.8999999999999995</v>
      </c>
    </row>
    <row r="444" spans="3:4" x14ac:dyDescent="0.25">
      <c r="C444" s="38">
        <v>4.9000000000000004</v>
      </c>
      <c r="D444" s="4">
        <f t="shared" si="90"/>
        <v>5</v>
      </c>
    </row>
    <row r="445" spans="3:4" x14ac:dyDescent="0.25">
      <c r="C445" s="38">
        <v>5</v>
      </c>
      <c r="D445" s="4">
        <f t="shared" si="90"/>
        <v>5.0999999999999996</v>
      </c>
    </row>
    <row r="446" spans="3:4" x14ac:dyDescent="0.25">
      <c r="C446" s="38">
        <v>5.0999999999999996</v>
      </c>
      <c r="D446" s="4">
        <f t="shared" si="90"/>
        <v>5.1999999999999993</v>
      </c>
    </row>
    <row r="447" spans="3:4" x14ac:dyDescent="0.25">
      <c r="C447" s="38">
        <v>5.2</v>
      </c>
      <c r="D447" s="4">
        <f t="shared" si="90"/>
        <v>5.3</v>
      </c>
    </row>
    <row r="448" spans="3:4" x14ac:dyDescent="0.25">
      <c r="C448" s="38">
        <v>5.3</v>
      </c>
      <c r="D448" s="4">
        <f t="shared" si="90"/>
        <v>5.3999999999999995</v>
      </c>
    </row>
    <row r="449" spans="3:4" x14ac:dyDescent="0.25">
      <c r="C449" s="38">
        <v>5.4</v>
      </c>
      <c r="D449" s="4">
        <f t="shared" si="90"/>
        <v>5.5</v>
      </c>
    </row>
    <row r="450" spans="3:4" x14ac:dyDescent="0.25">
      <c r="C450" s="38">
        <v>5.5</v>
      </c>
      <c r="D450" s="4">
        <f t="shared" si="90"/>
        <v>5.6</v>
      </c>
    </row>
    <row r="451" spans="3:4" x14ac:dyDescent="0.25">
      <c r="C451" s="38">
        <v>5.6</v>
      </c>
      <c r="D451" s="4">
        <f t="shared" si="90"/>
        <v>5.6999999999999993</v>
      </c>
    </row>
    <row r="452" spans="3:4" x14ac:dyDescent="0.25">
      <c r="C452" s="38">
        <v>5.7</v>
      </c>
      <c r="D452" s="4">
        <f t="shared" si="90"/>
        <v>5.8</v>
      </c>
    </row>
    <row r="453" spans="3:4" x14ac:dyDescent="0.25">
      <c r="C453" s="38">
        <v>5.8</v>
      </c>
      <c r="D453" s="4">
        <f t="shared" si="90"/>
        <v>5.8999999999999995</v>
      </c>
    </row>
    <row r="454" spans="3:4" x14ac:dyDescent="0.25">
      <c r="C454" s="38">
        <v>5.9</v>
      </c>
      <c r="D454" s="4">
        <f t="shared" si="90"/>
        <v>6</v>
      </c>
    </row>
    <row r="455" spans="3:4" x14ac:dyDescent="0.25">
      <c r="C455" s="38">
        <v>6</v>
      </c>
      <c r="D455" s="4">
        <f t="shared" si="90"/>
        <v>6.1</v>
      </c>
    </row>
    <row r="456" spans="3:4" x14ac:dyDescent="0.25">
      <c r="C456" s="38">
        <v>6.1</v>
      </c>
      <c r="D456" s="4">
        <f t="shared" si="90"/>
        <v>6.1999999999999993</v>
      </c>
    </row>
    <row r="457" spans="3:4" x14ac:dyDescent="0.25">
      <c r="C457" s="38">
        <v>6.2</v>
      </c>
      <c r="D457" s="4">
        <f t="shared" si="90"/>
        <v>6.3</v>
      </c>
    </row>
    <row r="458" spans="3:4" x14ac:dyDescent="0.25">
      <c r="C458" s="38">
        <v>6.3</v>
      </c>
      <c r="D458" s="4">
        <f t="shared" si="90"/>
        <v>6.3999999999999995</v>
      </c>
    </row>
    <row r="459" spans="3:4" x14ac:dyDescent="0.25">
      <c r="C459" s="38">
        <v>6.4</v>
      </c>
      <c r="D459" s="4">
        <f t="shared" si="90"/>
        <v>6.5</v>
      </c>
    </row>
    <row r="460" spans="3:4" x14ac:dyDescent="0.25">
      <c r="C460" s="38">
        <v>6.5</v>
      </c>
      <c r="D460" s="4">
        <f t="shared" ref="D460:D523" si="91">(IF(C460&lt;=4.4,C460+$D$6,IF(AND(C460&gt;=4.5,C460&lt;=11.4),C460+$D$7,IF(AND(C460&gt;=11.5,C460&lt;=18.4),C460+$D$8,IF(AND(C460&gt;=18.5,C460&lt;=26.4),C460+$D$9,IF(AND(C460&gt;=26.4,C460&lt;=36),C460+$D$10,IF(C460&gt;=37,C460+$D$11)))))))</f>
        <v>6.6</v>
      </c>
    </row>
    <row r="461" spans="3:4" x14ac:dyDescent="0.25">
      <c r="C461" s="38">
        <v>6.6</v>
      </c>
      <c r="D461" s="4">
        <f t="shared" si="91"/>
        <v>6.6999999999999993</v>
      </c>
    </row>
    <row r="462" spans="3:4" x14ac:dyDescent="0.25">
      <c r="C462" s="38">
        <v>6.7</v>
      </c>
      <c r="D462" s="4">
        <f t="shared" si="91"/>
        <v>6.8</v>
      </c>
    </row>
    <row r="463" spans="3:4" x14ac:dyDescent="0.25">
      <c r="C463" s="38">
        <v>6.8</v>
      </c>
      <c r="D463" s="4">
        <f t="shared" si="91"/>
        <v>6.8999999999999995</v>
      </c>
    </row>
    <row r="464" spans="3:4" x14ac:dyDescent="0.25">
      <c r="C464" s="38">
        <v>6.9</v>
      </c>
      <c r="D464" s="4">
        <f t="shared" si="91"/>
        <v>7</v>
      </c>
    </row>
    <row r="465" spans="3:4" x14ac:dyDescent="0.25">
      <c r="C465" s="38">
        <v>7</v>
      </c>
      <c r="D465" s="4">
        <f t="shared" si="91"/>
        <v>7.1</v>
      </c>
    </row>
    <row r="466" spans="3:4" x14ac:dyDescent="0.25">
      <c r="C466" s="38">
        <v>7.1</v>
      </c>
      <c r="D466" s="4">
        <f t="shared" si="91"/>
        <v>7.1999999999999993</v>
      </c>
    </row>
    <row r="467" spans="3:4" x14ac:dyDescent="0.25">
      <c r="C467" s="38">
        <v>7.2</v>
      </c>
      <c r="D467" s="4">
        <f t="shared" si="91"/>
        <v>7.3</v>
      </c>
    </row>
    <row r="468" spans="3:4" x14ac:dyDescent="0.25">
      <c r="C468" s="38">
        <v>7.3</v>
      </c>
      <c r="D468" s="4">
        <f t="shared" si="91"/>
        <v>7.3999999999999995</v>
      </c>
    </row>
    <row r="469" spans="3:4" x14ac:dyDescent="0.25">
      <c r="C469" s="38">
        <v>7.4</v>
      </c>
      <c r="D469" s="4">
        <f t="shared" si="91"/>
        <v>7.5</v>
      </c>
    </row>
    <row r="470" spans="3:4" x14ac:dyDescent="0.25">
      <c r="C470" s="38">
        <v>7.5</v>
      </c>
      <c r="D470" s="4">
        <f t="shared" si="91"/>
        <v>7.6</v>
      </c>
    </row>
    <row r="471" spans="3:4" x14ac:dyDescent="0.25">
      <c r="C471" s="38">
        <v>7.6</v>
      </c>
      <c r="D471" s="4">
        <f t="shared" si="91"/>
        <v>7.6999999999999993</v>
      </c>
    </row>
    <row r="472" spans="3:4" x14ac:dyDescent="0.25">
      <c r="C472" s="38">
        <v>7.7</v>
      </c>
      <c r="D472" s="4">
        <f t="shared" si="91"/>
        <v>7.8</v>
      </c>
    </row>
    <row r="473" spans="3:4" x14ac:dyDescent="0.25">
      <c r="C473" s="38">
        <v>7.8</v>
      </c>
      <c r="D473" s="4">
        <f t="shared" si="91"/>
        <v>7.8999999999999995</v>
      </c>
    </row>
    <row r="474" spans="3:4" x14ac:dyDescent="0.25">
      <c r="C474" s="38">
        <v>7.9</v>
      </c>
      <c r="D474" s="4">
        <f t="shared" si="91"/>
        <v>8</v>
      </c>
    </row>
    <row r="475" spans="3:4" x14ac:dyDescent="0.25">
      <c r="C475" s="38">
        <v>8</v>
      </c>
      <c r="D475" s="4">
        <f t="shared" si="91"/>
        <v>8.1</v>
      </c>
    </row>
    <row r="476" spans="3:4" x14ac:dyDescent="0.25">
      <c r="C476" s="38">
        <v>8.1</v>
      </c>
      <c r="D476" s="4">
        <f t="shared" si="91"/>
        <v>8.1999999999999993</v>
      </c>
    </row>
    <row r="477" spans="3:4" x14ac:dyDescent="0.25">
      <c r="C477" s="38">
        <v>8.1999999999999993</v>
      </c>
      <c r="D477" s="4">
        <f t="shared" si="91"/>
        <v>8.2999999999999989</v>
      </c>
    </row>
    <row r="478" spans="3:4" x14ac:dyDescent="0.25">
      <c r="C478" s="38">
        <v>8.3000000000000007</v>
      </c>
      <c r="D478" s="4">
        <f t="shared" si="91"/>
        <v>8.4</v>
      </c>
    </row>
    <row r="479" spans="3:4" x14ac:dyDescent="0.25">
      <c r="C479" s="38">
        <v>8.4</v>
      </c>
      <c r="D479" s="4">
        <f t="shared" si="91"/>
        <v>8.5</v>
      </c>
    </row>
    <row r="480" spans="3:4" x14ac:dyDescent="0.25">
      <c r="C480" s="38">
        <v>8.5</v>
      </c>
      <c r="D480" s="4">
        <f t="shared" si="91"/>
        <v>8.6</v>
      </c>
    </row>
    <row r="481" spans="3:4" x14ac:dyDescent="0.25">
      <c r="C481" s="38">
        <v>8.6</v>
      </c>
      <c r="D481" s="4">
        <f t="shared" si="91"/>
        <v>8.6999999999999993</v>
      </c>
    </row>
    <row r="482" spans="3:4" x14ac:dyDescent="0.25">
      <c r="C482" s="38">
        <v>8.6999999999999993</v>
      </c>
      <c r="D482" s="4">
        <f t="shared" si="91"/>
        <v>8.7999999999999989</v>
      </c>
    </row>
    <row r="483" spans="3:4" x14ac:dyDescent="0.25">
      <c r="C483" s="38">
        <v>8.8000000000000007</v>
      </c>
      <c r="D483" s="4">
        <f t="shared" si="91"/>
        <v>8.9</v>
      </c>
    </row>
    <row r="484" spans="3:4" x14ac:dyDescent="0.25">
      <c r="C484" s="38">
        <v>8.9</v>
      </c>
      <c r="D484" s="4">
        <f t="shared" si="91"/>
        <v>9</v>
      </c>
    </row>
    <row r="485" spans="3:4" x14ac:dyDescent="0.25">
      <c r="C485" s="38">
        <v>9</v>
      </c>
      <c r="D485" s="4">
        <f t="shared" si="91"/>
        <v>9.1</v>
      </c>
    </row>
    <row r="486" spans="3:4" x14ac:dyDescent="0.25">
      <c r="C486" s="38">
        <v>9.1</v>
      </c>
      <c r="D486" s="4">
        <f t="shared" si="91"/>
        <v>9.1999999999999993</v>
      </c>
    </row>
    <row r="487" spans="3:4" x14ac:dyDescent="0.25">
      <c r="C487" s="38">
        <v>9.1999999999999993</v>
      </c>
      <c r="D487" s="4">
        <f t="shared" si="91"/>
        <v>9.2999999999999989</v>
      </c>
    </row>
    <row r="488" spans="3:4" x14ac:dyDescent="0.25">
      <c r="C488" s="38">
        <v>9.3000000000000007</v>
      </c>
      <c r="D488" s="4">
        <f t="shared" si="91"/>
        <v>9.4</v>
      </c>
    </row>
    <row r="489" spans="3:4" x14ac:dyDescent="0.25">
      <c r="C489" s="38">
        <v>9.4</v>
      </c>
      <c r="D489" s="4">
        <f t="shared" si="91"/>
        <v>9.5</v>
      </c>
    </row>
    <row r="490" spans="3:4" x14ac:dyDescent="0.25">
      <c r="C490" s="38">
        <v>9.5</v>
      </c>
      <c r="D490" s="4">
        <f t="shared" si="91"/>
        <v>9.6</v>
      </c>
    </row>
    <row r="491" spans="3:4" x14ac:dyDescent="0.25">
      <c r="C491" s="38">
        <v>9.6</v>
      </c>
      <c r="D491" s="4">
        <f t="shared" si="91"/>
        <v>9.6999999999999993</v>
      </c>
    </row>
    <row r="492" spans="3:4" x14ac:dyDescent="0.25">
      <c r="C492" s="38">
        <v>9.6999999999999993</v>
      </c>
      <c r="D492" s="4">
        <f t="shared" si="91"/>
        <v>9.7999999999999989</v>
      </c>
    </row>
    <row r="493" spans="3:4" x14ac:dyDescent="0.25">
      <c r="C493" s="38">
        <v>9.8000000000000007</v>
      </c>
      <c r="D493" s="4">
        <f t="shared" si="91"/>
        <v>9.9</v>
      </c>
    </row>
    <row r="494" spans="3:4" x14ac:dyDescent="0.25">
      <c r="C494" s="38">
        <v>9.9</v>
      </c>
      <c r="D494" s="4">
        <f t="shared" si="91"/>
        <v>10</v>
      </c>
    </row>
    <row r="495" spans="3:4" x14ac:dyDescent="0.25">
      <c r="C495" s="38">
        <v>10</v>
      </c>
      <c r="D495" s="4">
        <f t="shared" si="91"/>
        <v>10.1</v>
      </c>
    </row>
    <row r="496" spans="3:4" x14ac:dyDescent="0.25">
      <c r="C496" s="38">
        <v>10.1</v>
      </c>
      <c r="D496" s="4">
        <f t="shared" si="91"/>
        <v>10.199999999999999</v>
      </c>
    </row>
    <row r="497" spans="3:4" x14ac:dyDescent="0.25">
      <c r="C497" s="38">
        <v>10.199999999999999</v>
      </c>
      <c r="D497" s="4">
        <f t="shared" si="91"/>
        <v>10.299999999999999</v>
      </c>
    </row>
    <row r="498" spans="3:4" x14ac:dyDescent="0.25">
      <c r="C498" s="38">
        <v>10.3</v>
      </c>
      <c r="D498" s="4">
        <f t="shared" si="91"/>
        <v>10.4</v>
      </c>
    </row>
    <row r="499" spans="3:4" x14ac:dyDescent="0.25">
      <c r="C499" s="38">
        <v>10.4</v>
      </c>
      <c r="D499" s="4">
        <f t="shared" si="91"/>
        <v>10.5</v>
      </c>
    </row>
    <row r="500" spans="3:4" x14ac:dyDescent="0.25">
      <c r="C500" s="38">
        <v>10.5</v>
      </c>
      <c r="D500" s="4">
        <f t="shared" si="91"/>
        <v>10.6</v>
      </c>
    </row>
    <row r="501" spans="3:4" x14ac:dyDescent="0.25">
      <c r="C501" s="38">
        <v>10.6</v>
      </c>
      <c r="D501" s="4">
        <f t="shared" si="91"/>
        <v>10.7</v>
      </c>
    </row>
    <row r="502" spans="3:4" x14ac:dyDescent="0.25">
      <c r="C502" s="38">
        <v>10.7</v>
      </c>
      <c r="D502" s="4">
        <f t="shared" si="91"/>
        <v>10.799999999999999</v>
      </c>
    </row>
    <row r="503" spans="3:4" x14ac:dyDescent="0.25">
      <c r="C503" s="38">
        <v>10.8</v>
      </c>
      <c r="D503" s="4">
        <f t="shared" si="91"/>
        <v>10.9</v>
      </c>
    </row>
    <row r="504" spans="3:4" x14ac:dyDescent="0.25">
      <c r="C504" s="38">
        <v>10.9</v>
      </c>
      <c r="D504" s="4">
        <f t="shared" si="91"/>
        <v>11</v>
      </c>
    </row>
    <row r="505" spans="3:4" x14ac:dyDescent="0.25">
      <c r="C505" s="38">
        <v>11</v>
      </c>
      <c r="D505" s="4">
        <f t="shared" si="91"/>
        <v>11.1</v>
      </c>
    </row>
    <row r="506" spans="3:4" x14ac:dyDescent="0.25">
      <c r="C506" s="38">
        <v>11.1</v>
      </c>
      <c r="D506" s="4">
        <f t="shared" si="91"/>
        <v>11.2</v>
      </c>
    </row>
    <row r="507" spans="3:4" x14ac:dyDescent="0.25">
      <c r="C507" s="38">
        <v>11.2</v>
      </c>
      <c r="D507" s="4">
        <f t="shared" si="91"/>
        <v>11.299999999999999</v>
      </c>
    </row>
    <row r="508" spans="3:4" x14ac:dyDescent="0.25">
      <c r="C508" s="38">
        <v>11.3</v>
      </c>
      <c r="D508" s="4">
        <f t="shared" si="91"/>
        <v>11.4</v>
      </c>
    </row>
    <row r="509" spans="3:4" x14ac:dyDescent="0.25">
      <c r="C509" s="38">
        <v>11.4</v>
      </c>
      <c r="D509" s="4">
        <f t="shared" si="91"/>
        <v>11.5</v>
      </c>
    </row>
    <row r="510" spans="3:4" x14ac:dyDescent="0.25">
      <c r="C510" s="38">
        <v>11.5</v>
      </c>
      <c r="D510" s="4">
        <f t="shared" si="91"/>
        <v>11.6</v>
      </c>
    </row>
    <row r="511" spans="3:4" x14ac:dyDescent="0.25">
      <c r="C511" s="38">
        <v>11.6</v>
      </c>
      <c r="D511" s="4">
        <f t="shared" si="91"/>
        <v>11.7</v>
      </c>
    </row>
    <row r="512" spans="3:4" x14ac:dyDescent="0.25">
      <c r="C512" s="38">
        <v>11.7</v>
      </c>
      <c r="D512" s="4">
        <f t="shared" si="91"/>
        <v>11.799999999999999</v>
      </c>
    </row>
    <row r="513" spans="3:4" x14ac:dyDescent="0.25">
      <c r="C513" s="38">
        <v>11.8</v>
      </c>
      <c r="D513" s="4">
        <f t="shared" si="91"/>
        <v>11.9</v>
      </c>
    </row>
    <row r="514" spans="3:4" x14ac:dyDescent="0.25">
      <c r="C514" s="38">
        <v>11.9</v>
      </c>
      <c r="D514" s="4">
        <f t="shared" si="91"/>
        <v>12</v>
      </c>
    </row>
    <row r="515" spans="3:4" x14ac:dyDescent="0.25">
      <c r="C515" s="38">
        <v>12</v>
      </c>
      <c r="D515" s="4">
        <f t="shared" si="91"/>
        <v>12.1</v>
      </c>
    </row>
    <row r="516" spans="3:4" x14ac:dyDescent="0.25">
      <c r="C516" s="38">
        <v>12.1</v>
      </c>
      <c r="D516" s="4">
        <f t="shared" si="91"/>
        <v>12.2</v>
      </c>
    </row>
    <row r="517" spans="3:4" x14ac:dyDescent="0.25">
      <c r="C517" s="38">
        <v>12.2</v>
      </c>
      <c r="D517" s="4">
        <f t="shared" si="91"/>
        <v>12.299999999999999</v>
      </c>
    </row>
    <row r="518" spans="3:4" x14ac:dyDescent="0.25">
      <c r="C518" s="38">
        <v>12.3</v>
      </c>
      <c r="D518" s="4">
        <f t="shared" si="91"/>
        <v>12.4</v>
      </c>
    </row>
    <row r="519" spans="3:4" x14ac:dyDescent="0.25">
      <c r="C519" s="38">
        <v>12.4</v>
      </c>
      <c r="D519" s="4">
        <f t="shared" si="91"/>
        <v>12.5</v>
      </c>
    </row>
    <row r="520" spans="3:4" x14ac:dyDescent="0.25">
      <c r="C520" s="38">
        <v>12.5</v>
      </c>
      <c r="D520" s="4">
        <f t="shared" si="91"/>
        <v>12.6</v>
      </c>
    </row>
    <row r="521" spans="3:4" x14ac:dyDescent="0.25">
      <c r="C521" s="38">
        <v>12.6</v>
      </c>
      <c r="D521" s="4">
        <f t="shared" si="91"/>
        <v>12.7</v>
      </c>
    </row>
    <row r="522" spans="3:4" x14ac:dyDescent="0.25">
      <c r="C522" s="38">
        <v>12.7</v>
      </c>
      <c r="D522" s="4">
        <f t="shared" si="91"/>
        <v>12.799999999999999</v>
      </c>
    </row>
    <row r="523" spans="3:4" x14ac:dyDescent="0.25">
      <c r="C523" s="38">
        <v>12.8</v>
      </c>
      <c r="D523" s="4">
        <f t="shared" si="91"/>
        <v>12.9</v>
      </c>
    </row>
    <row r="524" spans="3:4" x14ac:dyDescent="0.25">
      <c r="C524" s="38">
        <v>12.9</v>
      </c>
      <c r="D524" s="4">
        <f t="shared" ref="D524:D587" si="92">(IF(C524&lt;=4.4,C524+$D$6,IF(AND(C524&gt;=4.5,C524&lt;=11.4),C524+$D$7,IF(AND(C524&gt;=11.5,C524&lt;=18.4),C524+$D$8,IF(AND(C524&gt;=18.5,C524&lt;=26.4),C524+$D$9,IF(AND(C524&gt;=26.4,C524&lt;=36),C524+$D$10,IF(C524&gt;=37,C524+$D$11)))))))</f>
        <v>13</v>
      </c>
    </row>
    <row r="525" spans="3:4" x14ac:dyDescent="0.25">
      <c r="C525" s="38">
        <v>13</v>
      </c>
      <c r="D525" s="4">
        <f t="shared" si="92"/>
        <v>13.1</v>
      </c>
    </row>
    <row r="526" spans="3:4" x14ac:dyDescent="0.25">
      <c r="C526" s="38">
        <v>13.1</v>
      </c>
      <c r="D526" s="4">
        <f t="shared" si="92"/>
        <v>13.2</v>
      </c>
    </row>
    <row r="527" spans="3:4" x14ac:dyDescent="0.25">
      <c r="C527" s="38">
        <v>13.2</v>
      </c>
      <c r="D527" s="4">
        <f t="shared" si="92"/>
        <v>13.299999999999999</v>
      </c>
    </row>
    <row r="528" spans="3:4" x14ac:dyDescent="0.25">
      <c r="C528" s="38">
        <v>13.3</v>
      </c>
      <c r="D528" s="4">
        <f t="shared" si="92"/>
        <v>13.4</v>
      </c>
    </row>
    <row r="529" spans="3:4" x14ac:dyDescent="0.25">
      <c r="C529" s="38">
        <v>13.4</v>
      </c>
      <c r="D529" s="4">
        <f t="shared" si="92"/>
        <v>13.5</v>
      </c>
    </row>
    <row r="530" spans="3:4" x14ac:dyDescent="0.25">
      <c r="C530" s="38">
        <v>13.5</v>
      </c>
      <c r="D530" s="4">
        <f t="shared" si="92"/>
        <v>13.6</v>
      </c>
    </row>
    <row r="531" spans="3:4" x14ac:dyDescent="0.25">
      <c r="C531" s="38">
        <v>13.6</v>
      </c>
      <c r="D531" s="4">
        <f t="shared" si="92"/>
        <v>13.7</v>
      </c>
    </row>
    <row r="532" spans="3:4" x14ac:dyDescent="0.25">
      <c r="C532" s="38">
        <v>13.7</v>
      </c>
      <c r="D532" s="4">
        <f t="shared" si="92"/>
        <v>13.799999999999999</v>
      </c>
    </row>
    <row r="533" spans="3:4" x14ac:dyDescent="0.25">
      <c r="C533" s="38">
        <v>13.8</v>
      </c>
      <c r="D533" s="4">
        <f t="shared" si="92"/>
        <v>13.9</v>
      </c>
    </row>
    <row r="534" spans="3:4" x14ac:dyDescent="0.25">
      <c r="C534" s="38">
        <v>13.9</v>
      </c>
      <c r="D534" s="4">
        <f t="shared" si="92"/>
        <v>14</v>
      </c>
    </row>
    <row r="535" spans="3:4" x14ac:dyDescent="0.25">
      <c r="C535" s="38">
        <v>14</v>
      </c>
      <c r="D535" s="4">
        <f t="shared" si="92"/>
        <v>14.1</v>
      </c>
    </row>
    <row r="536" spans="3:4" x14ac:dyDescent="0.25">
      <c r="C536" s="38">
        <v>14.1</v>
      </c>
      <c r="D536" s="4">
        <f t="shared" si="92"/>
        <v>14.2</v>
      </c>
    </row>
    <row r="537" spans="3:4" x14ac:dyDescent="0.25">
      <c r="C537" s="38">
        <v>14.2</v>
      </c>
      <c r="D537" s="4">
        <f t="shared" si="92"/>
        <v>14.299999999999999</v>
      </c>
    </row>
    <row r="538" spans="3:4" x14ac:dyDescent="0.25">
      <c r="C538" s="38">
        <v>14.3</v>
      </c>
      <c r="D538" s="4">
        <f t="shared" si="92"/>
        <v>14.4</v>
      </c>
    </row>
    <row r="539" spans="3:4" x14ac:dyDescent="0.25">
      <c r="C539" s="38">
        <v>14.4</v>
      </c>
      <c r="D539" s="4">
        <f t="shared" si="92"/>
        <v>14.5</v>
      </c>
    </row>
    <row r="540" spans="3:4" x14ac:dyDescent="0.25">
      <c r="C540" s="38">
        <v>14.5</v>
      </c>
      <c r="D540" s="4">
        <f t="shared" si="92"/>
        <v>14.6</v>
      </c>
    </row>
    <row r="541" spans="3:4" x14ac:dyDescent="0.25">
      <c r="C541" s="38">
        <v>14.6</v>
      </c>
      <c r="D541" s="4">
        <f t="shared" si="92"/>
        <v>14.7</v>
      </c>
    </row>
    <row r="542" spans="3:4" x14ac:dyDescent="0.25">
      <c r="C542" s="38">
        <v>14.7</v>
      </c>
      <c r="D542" s="4">
        <f t="shared" si="92"/>
        <v>14.799999999999999</v>
      </c>
    </row>
    <row r="543" spans="3:4" x14ac:dyDescent="0.25">
      <c r="C543" s="38">
        <v>14.8</v>
      </c>
      <c r="D543" s="4">
        <f t="shared" si="92"/>
        <v>14.9</v>
      </c>
    </row>
    <row r="544" spans="3:4" x14ac:dyDescent="0.25">
      <c r="C544" s="38">
        <v>14.9</v>
      </c>
      <c r="D544" s="4">
        <f t="shared" si="92"/>
        <v>15</v>
      </c>
    </row>
    <row r="545" spans="3:4" x14ac:dyDescent="0.25">
      <c r="C545" s="38">
        <v>15</v>
      </c>
      <c r="D545" s="4">
        <f t="shared" si="92"/>
        <v>15.1</v>
      </c>
    </row>
    <row r="546" spans="3:4" x14ac:dyDescent="0.25">
      <c r="C546" s="38">
        <v>15.1</v>
      </c>
      <c r="D546" s="4">
        <f t="shared" si="92"/>
        <v>15.2</v>
      </c>
    </row>
    <row r="547" spans="3:4" x14ac:dyDescent="0.25">
      <c r="C547" s="38">
        <v>15.2</v>
      </c>
      <c r="D547" s="4">
        <f t="shared" si="92"/>
        <v>15.299999999999999</v>
      </c>
    </row>
    <row r="548" spans="3:4" x14ac:dyDescent="0.25">
      <c r="C548" s="38">
        <v>15.3</v>
      </c>
      <c r="D548" s="4">
        <f t="shared" si="92"/>
        <v>15.4</v>
      </c>
    </row>
    <row r="549" spans="3:4" x14ac:dyDescent="0.25">
      <c r="C549" s="38">
        <v>15.4</v>
      </c>
      <c r="D549" s="4">
        <f t="shared" si="92"/>
        <v>15.5</v>
      </c>
    </row>
    <row r="550" spans="3:4" x14ac:dyDescent="0.25">
      <c r="C550" s="38">
        <v>15.5</v>
      </c>
      <c r="D550" s="4">
        <f t="shared" si="92"/>
        <v>15.6</v>
      </c>
    </row>
    <row r="551" spans="3:4" x14ac:dyDescent="0.25">
      <c r="C551" s="38">
        <v>15.6</v>
      </c>
      <c r="D551" s="4">
        <f t="shared" si="92"/>
        <v>15.7</v>
      </c>
    </row>
    <row r="552" spans="3:4" x14ac:dyDescent="0.25">
      <c r="C552" s="38">
        <v>15.7</v>
      </c>
      <c r="D552" s="4">
        <f t="shared" si="92"/>
        <v>15.799999999999999</v>
      </c>
    </row>
    <row r="553" spans="3:4" x14ac:dyDescent="0.25">
      <c r="C553" s="38">
        <v>15.8</v>
      </c>
      <c r="D553" s="4">
        <f t="shared" si="92"/>
        <v>15.9</v>
      </c>
    </row>
    <row r="554" spans="3:4" x14ac:dyDescent="0.25">
      <c r="C554" s="38">
        <v>15.9</v>
      </c>
      <c r="D554" s="4">
        <f t="shared" si="92"/>
        <v>16</v>
      </c>
    </row>
    <row r="555" spans="3:4" x14ac:dyDescent="0.25">
      <c r="C555" s="38">
        <v>16</v>
      </c>
      <c r="D555" s="4">
        <f t="shared" si="92"/>
        <v>16.100000000000001</v>
      </c>
    </row>
    <row r="556" spans="3:4" x14ac:dyDescent="0.25">
      <c r="C556" s="38">
        <v>16.100000000000001</v>
      </c>
      <c r="D556" s="4">
        <f t="shared" si="92"/>
        <v>16.200000000000003</v>
      </c>
    </row>
    <row r="557" spans="3:4" x14ac:dyDescent="0.25">
      <c r="C557" s="38">
        <v>16.2</v>
      </c>
      <c r="D557" s="4">
        <f t="shared" si="92"/>
        <v>16.3</v>
      </c>
    </row>
    <row r="558" spans="3:4" x14ac:dyDescent="0.25">
      <c r="C558" s="38">
        <v>16.3</v>
      </c>
      <c r="D558" s="4">
        <f t="shared" si="92"/>
        <v>16.400000000000002</v>
      </c>
    </row>
    <row r="559" spans="3:4" x14ac:dyDescent="0.25">
      <c r="C559" s="38">
        <v>16.399999999999999</v>
      </c>
      <c r="D559" s="4">
        <f t="shared" si="92"/>
        <v>16.5</v>
      </c>
    </row>
    <row r="560" spans="3:4" x14ac:dyDescent="0.25">
      <c r="C560" s="38">
        <v>16.5</v>
      </c>
      <c r="D560" s="4">
        <f t="shared" si="92"/>
        <v>16.600000000000001</v>
      </c>
    </row>
    <row r="561" spans="3:4" x14ac:dyDescent="0.25">
      <c r="C561" s="38">
        <v>16.600000000000001</v>
      </c>
      <c r="D561" s="4">
        <f t="shared" si="92"/>
        <v>16.700000000000003</v>
      </c>
    </row>
    <row r="562" spans="3:4" x14ac:dyDescent="0.25">
      <c r="C562" s="38">
        <v>16.7</v>
      </c>
      <c r="D562" s="4">
        <f t="shared" si="92"/>
        <v>16.8</v>
      </c>
    </row>
    <row r="563" spans="3:4" x14ac:dyDescent="0.25">
      <c r="C563" s="38">
        <v>16.8</v>
      </c>
      <c r="D563" s="4">
        <f t="shared" si="92"/>
        <v>16.900000000000002</v>
      </c>
    </row>
    <row r="564" spans="3:4" x14ac:dyDescent="0.25">
      <c r="C564" s="38">
        <v>16.899999999999999</v>
      </c>
      <c r="D564" s="4">
        <f t="shared" si="92"/>
        <v>17</v>
      </c>
    </row>
    <row r="565" spans="3:4" x14ac:dyDescent="0.25">
      <c r="C565" s="38">
        <v>17</v>
      </c>
      <c r="D565" s="4">
        <f t="shared" si="92"/>
        <v>17.100000000000001</v>
      </c>
    </row>
    <row r="566" spans="3:4" x14ac:dyDescent="0.25">
      <c r="C566" s="38">
        <v>17.100000000000001</v>
      </c>
      <c r="D566" s="4">
        <f t="shared" si="92"/>
        <v>17.200000000000003</v>
      </c>
    </row>
    <row r="567" spans="3:4" x14ac:dyDescent="0.25">
      <c r="C567" s="38">
        <v>17.2</v>
      </c>
      <c r="D567" s="4">
        <f t="shared" si="92"/>
        <v>17.3</v>
      </c>
    </row>
    <row r="568" spans="3:4" x14ac:dyDescent="0.25">
      <c r="C568" s="38">
        <v>17.3</v>
      </c>
      <c r="D568" s="4">
        <f t="shared" si="92"/>
        <v>17.400000000000002</v>
      </c>
    </row>
    <row r="569" spans="3:4" x14ac:dyDescent="0.25">
      <c r="C569" s="38">
        <v>17.399999999999999</v>
      </c>
      <c r="D569" s="4">
        <f t="shared" si="92"/>
        <v>17.5</v>
      </c>
    </row>
    <row r="570" spans="3:4" x14ac:dyDescent="0.25">
      <c r="C570" s="38">
        <v>17.5</v>
      </c>
      <c r="D570" s="4">
        <f t="shared" si="92"/>
        <v>17.600000000000001</v>
      </c>
    </row>
    <row r="571" spans="3:4" x14ac:dyDescent="0.25">
      <c r="C571" s="38">
        <v>17.600000000000001</v>
      </c>
      <c r="D571" s="4">
        <f t="shared" si="92"/>
        <v>17.700000000000003</v>
      </c>
    </row>
    <row r="572" spans="3:4" x14ac:dyDescent="0.25">
      <c r="C572" s="38">
        <v>17.7</v>
      </c>
      <c r="D572" s="4">
        <f t="shared" si="92"/>
        <v>17.8</v>
      </c>
    </row>
    <row r="573" spans="3:4" x14ac:dyDescent="0.25">
      <c r="C573" s="38">
        <v>17.8</v>
      </c>
      <c r="D573" s="4">
        <f t="shared" si="92"/>
        <v>17.900000000000002</v>
      </c>
    </row>
    <row r="574" spans="3:4" x14ac:dyDescent="0.25">
      <c r="C574" s="38">
        <v>17.899999999999999</v>
      </c>
      <c r="D574" s="4">
        <f t="shared" si="92"/>
        <v>18</v>
      </c>
    </row>
    <row r="575" spans="3:4" x14ac:dyDescent="0.25">
      <c r="C575" s="38">
        <v>18</v>
      </c>
      <c r="D575" s="4">
        <f t="shared" si="92"/>
        <v>18.100000000000001</v>
      </c>
    </row>
    <row r="576" spans="3:4" x14ac:dyDescent="0.25">
      <c r="C576" s="38">
        <v>18.100000000000001</v>
      </c>
      <c r="D576" s="4">
        <f t="shared" si="92"/>
        <v>18.200000000000003</v>
      </c>
    </row>
    <row r="577" spans="3:4" x14ac:dyDescent="0.25">
      <c r="C577" s="38">
        <v>18.2</v>
      </c>
      <c r="D577" s="4">
        <f t="shared" si="92"/>
        <v>18.3</v>
      </c>
    </row>
    <row r="578" spans="3:4" x14ac:dyDescent="0.25">
      <c r="C578" s="38">
        <v>18.3</v>
      </c>
      <c r="D578" s="4">
        <f t="shared" si="92"/>
        <v>18.400000000000002</v>
      </c>
    </row>
    <row r="579" spans="3:4" x14ac:dyDescent="0.25">
      <c r="C579" s="38">
        <v>18.399999999999999</v>
      </c>
      <c r="D579" s="4">
        <f t="shared" si="92"/>
        <v>18.5</v>
      </c>
    </row>
    <row r="580" spans="3:4" x14ac:dyDescent="0.25">
      <c r="C580" s="38">
        <v>18.5</v>
      </c>
      <c r="D580" s="4">
        <f t="shared" si="92"/>
        <v>18.600000000000001</v>
      </c>
    </row>
    <row r="581" spans="3:4" x14ac:dyDescent="0.25">
      <c r="C581" s="38">
        <v>18.600000000000001</v>
      </c>
      <c r="D581" s="4">
        <f t="shared" si="92"/>
        <v>18.700000000000003</v>
      </c>
    </row>
    <row r="582" spans="3:4" x14ac:dyDescent="0.25">
      <c r="C582" s="38">
        <v>18.7</v>
      </c>
      <c r="D582" s="4">
        <f t="shared" si="92"/>
        <v>18.8</v>
      </c>
    </row>
    <row r="583" spans="3:4" x14ac:dyDescent="0.25">
      <c r="C583" s="38">
        <v>18.8</v>
      </c>
      <c r="D583" s="4">
        <f t="shared" si="92"/>
        <v>18.900000000000002</v>
      </c>
    </row>
    <row r="584" spans="3:4" x14ac:dyDescent="0.25">
      <c r="C584" s="38">
        <v>18.899999999999999</v>
      </c>
      <c r="D584" s="4">
        <f t="shared" si="92"/>
        <v>19</v>
      </c>
    </row>
    <row r="585" spans="3:4" x14ac:dyDescent="0.25">
      <c r="C585" s="38">
        <v>19</v>
      </c>
      <c r="D585" s="4">
        <f t="shared" si="92"/>
        <v>19.100000000000001</v>
      </c>
    </row>
    <row r="586" spans="3:4" x14ac:dyDescent="0.25">
      <c r="C586" s="38">
        <v>19.100000000000001</v>
      </c>
      <c r="D586" s="4">
        <f t="shared" si="92"/>
        <v>19.200000000000003</v>
      </c>
    </row>
    <row r="587" spans="3:4" x14ac:dyDescent="0.25">
      <c r="C587" s="38">
        <v>19.2</v>
      </c>
      <c r="D587" s="4">
        <f t="shared" si="92"/>
        <v>19.3</v>
      </c>
    </row>
    <row r="588" spans="3:4" x14ac:dyDescent="0.25">
      <c r="C588" s="38">
        <v>19.3</v>
      </c>
      <c r="D588" s="4">
        <f t="shared" ref="D588:D651" si="93">(IF(C588&lt;=4.4,C588+$D$6,IF(AND(C588&gt;=4.5,C588&lt;=11.4),C588+$D$7,IF(AND(C588&gt;=11.5,C588&lt;=18.4),C588+$D$8,IF(AND(C588&gt;=18.5,C588&lt;=26.4),C588+$D$9,IF(AND(C588&gt;=26.4,C588&lt;=36),C588+$D$10,IF(C588&gt;=37,C588+$D$11)))))))</f>
        <v>19.400000000000002</v>
      </c>
    </row>
    <row r="589" spans="3:4" x14ac:dyDescent="0.25">
      <c r="C589" s="38">
        <v>19.399999999999999</v>
      </c>
      <c r="D589" s="4">
        <f t="shared" si="93"/>
        <v>19.5</v>
      </c>
    </row>
    <row r="590" spans="3:4" x14ac:dyDescent="0.25">
      <c r="C590" s="38">
        <v>19.5</v>
      </c>
      <c r="D590" s="4">
        <f t="shared" si="93"/>
        <v>19.600000000000001</v>
      </c>
    </row>
    <row r="591" spans="3:4" x14ac:dyDescent="0.25">
      <c r="C591" s="38">
        <v>19.600000000000001</v>
      </c>
      <c r="D591" s="4">
        <f t="shared" si="93"/>
        <v>19.700000000000003</v>
      </c>
    </row>
    <row r="592" spans="3:4" x14ac:dyDescent="0.25">
      <c r="C592" s="38">
        <v>19.7</v>
      </c>
      <c r="D592" s="4">
        <f t="shared" si="93"/>
        <v>19.8</v>
      </c>
    </row>
    <row r="593" spans="3:4" x14ac:dyDescent="0.25">
      <c r="C593" s="38">
        <v>19.8</v>
      </c>
      <c r="D593" s="4">
        <f t="shared" si="93"/>
        <v>19.900000000000002</v>
      </c>
    </row>
    <row r="594" spans="3:4" x14ac:dyDescent="0.25">
      <c r="C594" s="38">
        <v>19.899999999999999</v>
      </c>
      <c r="D594" s="4">
        <f t="shared" si="93"/>
        <v>20</v>
      </c>
    </row>
    <row r="595" spans="3:4" x14ac:dyDescent="0.25">
      <c r="C595" s="38">
        <v>20</v>
      </c>
      <c r="D595" s="4">
        <f t="shared" si="93"/>
        <v>20.100000000000001</v>
      </c>
    </row>
    <row r="596" spans="3:4" x14ac:dyDescent="0.25">
      <c r="C596" s="38">
        <v>20.100000000000001</v>
      </c>
      <c r="D596" s="4">
        <f t="shared" si="93"/>
        <v>20.200000000000003</v>
      </c>
    </row>
    <row r="597" spans="3:4" x14ac:dyDescent="0.25">
      <c r="C597" s="38">
        <v>20.2</v>
      </c>
      <c r="D597" s="4">
        <f t="shared" si="93"/>
        <v>20.3</v>
      </c>
    </row>
    <row r="598" spans="3:4" x14ac:dyDescent="0.25">
      <c r="C598" s="38">
        <v>20.3</v>
      </c>
      <c r="D598" s="4">
        <f t="shared" si="93"/>
        <v>20.400000000000002</v>
      </c>
    </row>
    <row r="599" spans="3:4" x14ac:dyDescent="0.25">
      <c r="C599" s="38">
        <v>20.399999999999999</v>
      </c>
      <c r="D599" s="4">
        <f t="shared" si="93"/>
        <v>20.5</v>
      </c>
    </row>
    <row r="600" spans="3:4" x14ac:dyDescent="0.25">
      <c r="C600" s="38">
        <v>20.5</v>
      </c>
      <c r="D600" s="4">
        <f t="shared" si="93"/>
        <v>20.6</v>
      </c>
    </row>
    <row r="601" spans="3:4" x14ac:dyDescent="0.25">
      <c r="C601" s="38">
        <v>20.6</v>
      </c>
      <c r="D601" s="4">
        <f t="shared" si="93"/>
        <v>20.700000000000003</v>
      </c>
    </row>
    <row r="602" spans="3:4" x14ac:dyDescent="0.25">
      <c r="C602" s="38">
        <v>20.7</v>
      </c>
      <c r="D602" s="4">
        <f t="shared" si="93"/>
        <v>20.8</v>
      </c>
    </row>
    <row r="603" spans="3:4" x14ac:dyDescent="0.25">
      <c r="C603" s="38">
        <v>20.8</v>
      </c>
      <c r="D603" s="4">
        <f t="shared" si="93"/>
        <v>20.900000000000002</v>
      </c>
    </row>
    <row r="604" spans="3:4" x14ac:dyDescent="0.25">
      <c r="C604" s="38">
        <v>20.9</v>
      </c>
      <c r="D604" s="4">
        <f t="shared" si="93"/>
        <v>21</v>
      </c>
    </row>
    <row r="605" spans="3:4" x14ac:dyDescent="0.25">
      <c r="C605" s="38">
        <v>21</v>
      </c>
      <c r="D605" s="4">
        <f t="shared" si="93"/>
        <v>21.1</v>
      </c>
    </row>
    <row r="606" spans="3:4" x14ac:dyDescent="0.25">
      <c r="C606" s="38">
        <v>21.1</v>
      </c>
      <c r="D606" s="4">
        <f t="shared" si="93"/>
        <v>21.200000000000003</v>
      </c>
    </row>
    <row r="607" spans="3:4" x14ac:dyDescent="0.25">
      <c r="C607" s="38">
        <v>21.2</v>
      </c>
      <c r="D607" s="4">
        <f t="shared" si="93"/>
        <v>21.3</v>
      </c>
    </row>
    <row r="608" spans="3:4" x14ac:dyDescent="0.25">
      <c r="C608" s="38">
        <v>21.3</v>
      </c>
      <c r="D608" s="4">
        <f t="shared" si="93"/>
        <v>21.400000000000002</v>
      </c>
    </row>
    <row r="609" spans="3:4" x14ac:dyDescent="0.25">
      <c r="C609" s="38">
        <v>21.4</v>
      </c>
      <c r="D609" s="4">
        <f t="shared" si="93"/>
        <v>21.5</v>
      </c>
    </row>
    <row r="610" spans="3:4" x14ac:dyDescent="0.25">
      <c r="C610" s="38">
        <v>21.5</v>
      </c>
      <c r="D610" s="4">
        <f t="shared" si="93"/>
        <v>21.6</v>
      </c>
    </row>
    <row r="611" spans="3:4" x14ac:dyDescent="0.25">
      <c r="C611" s="38">
        <v>21.6</v>
      </c>
      <c r="D611" s="4">
        <f t="shared" si="93"/>
        <v>21.700000000000003</v>
      </c>
    </row>
    <row r="612" spans="3:4" x14ac:dyDescent="0.25">
      <c r="C612" s="38">
        <v>21.7</v>
      </c>
      <c r="D612" s="4">
        <f t="shared" si="93"/>
        <v>21.8</v>
      </c>
    </row>
    <row r="613" spans="3:4" x14ac:dyDescent="0.25">
      <c r="C613" s="38">
        <v>21.8</v>
      </c>
      <c r="D613" s="4">
        <f t="shared" si="93"/>
        <v>21.900000000000002</v>
      </c>
    </row>
    <row r="614" spans="3:4" x14ac:dyDescent="0.25">
      <c r="C614" s="38">
        <v>21.9</v>
      </c>
      <c r="D614" s="4">
        <f t="shared" si="93"/>
        <v>22</v>
      </c>
    </row>
    <row r="615" spans="3:4" x14ac:dyDescent="0.25">
      <c r="C615" s="38">
        <v>22</v>
      </c>
      <c r="D615" s="4">
        <f t="shared" si="93"/>
        <v>22.1</v>
      </c>
    </row>
    <row r="616" spans="3:4" x14ac:dyDescent="0.25">
      <c r="C616" s="38">
        <v>22.1</v>
      </c>
      <c r="D616" s="4">
        <f t="shared" si="93"/>
        <v>22.200000000000003</v>
      </c>
    </row>
    <row r="617" spans="3:4" x14ac:dyDescent="0.25">
      <c r="C617" s="38">
        <v>22.2</v>
      </c>
      <c r="D617" s="4">
        <f t="shared" si="93"/>
        <v>22.3</v>
      </c>
    </row>
    <row r="618" spans="3:4" x14ac:dyDescent="0.25">
      <c r="C618" s="38">
        <v>22.3</v>
      </c>
      <c r="D618" s="4">
        <f t="shared" si="93"/>
        <v>22.400000000000002</v>
      </c>
    </row>
    <row r="619" spans="3:4" x14ac:dyDescent="0.25">
      <c r="C619" s="38">
        <v>22.4</v>
      </c>
      <c r="D619" s="4">
        <f t="shared" si="93"/>
        <v>22.5</v>
      </c>
    </row>
    <row r="620" spans="3:4" x14ac:dyDescent="0.25">
      <c r="C620" s="38">
        <v>22.5</v>
      </c>
      <c r="D620" s="4">
        <f t="shared" si="93"/>
        <v>22.6</v>
      </c>
    </row>
    <row r="621" spans="3:4" x14ac:dyDescent="0.25">
      <c r="C621" s="38">
        <v>22.6</v>
      </c>
      <c r="D621" s="4">
        <f t="shared" si="93"/>
        <v>22.700000000000003</v>
      </c>
    </row>
    <row r="622" spans="3:4" x14ac:dyDescent="0.25">
      <c r="C622" s="38">
        <v>22.7</v>
      </c>
      <c r="D622" s="4">
        <f t="shared" si="93"/>
        <v>22.8</v>
      </c>
    </row>
    <row r="623" spans="3:4" x14ac:dyDescent="0.25">
      <c r="C623" s="38">
        <v>22.8</v>
      </c>
      <c r="D623" s="4">
        <f t="shared" si="93"/>
        <v>22.900000000000002</v>
      </c>
    </row>
    <row r="624" spans="3:4" x14ac:dyDescent="0.25">
      <c r="C624" s="38">
        <v>22.9</v>
      </c>
      <c r="D624" s="4">
        <f t="shared" si="93"/>
        <v>23</v>
      </c>
    </row>
    <row r="625" spans="3:4" x14ac:dyDescent="0.25">
      <c r="C625" s="38">
        <v>23</v>
      </c>
      <c r="D625" s="4">
        <f t="shared" si="93"/>
        <v>23.1</v>
      </c>
    </row>
    <row r="626" spans="3:4" x14ac:dyDescent="0.25">
      <c r="C626" s="38">
        <v>23.1</v>
      </c>
      <c r="D626" s="4">
        <f t="shared" si="93"/>
        <v>23.200000000000003</v>
      </c>
    </row>
    <row r="627" spans="3:4" x14ac:dyDescent="0.25">
      <c r="C627" s="38">
        <v>23.2</v>
      </c>
      <c r="D627" s="4">
        <f t="shared" si="93"/>
        <v>23.3</v>
      </c>
    </row>
    <row r="628" spans="3:4" x14ac:dyDescent="0.25">
      <c r="C628" s="38">
        <v>23.3</v>
      </c>
      <c r="D628" s="4">
        <f t="shared" si="93"/>
        <v>23.400000000000002</v>
      </c>
    </row>
    <row r="629" spans="3:4" x14ac:dyDescent="0.25">
      <c r="C629" s="38">
        <v>23.4</v>
      </c>
      <c r="D629" s="4">
        <f t="shared" si="93"/>
        <v>23.5</v>
      </c>
    </row>
    <row r="630" spans="3:4" x14ac:dyDescent="0.25">
      <c r="C630" s="38">
        <v>23.5</v>
      </c>
      <c r="D630" s="4">
        <f t="shared" si="93"/>
        <v>23.6</v>
      </c>
    </row>
    <row r="631" spans="3:4" x14ac:dyDescent="0.25">
      <c r="C631" s="38">
        <v>23.6</v>
      </c>
      <c r="D631" s="4">
        <f t="shared" si="93"/>
        <v>23.700000000000003</v>
      </c>
    </row>
    <row r="632" spans="3:4" x14ac:dyDescent="0.25">
      <c r="C632" s="38">
        <v>23.7</v>
      </c>
      <c r="D632" s="4">
        <f t="shared" si="93"/>
        <v>23.8</v>
      </c>
    </row>
    <row r="633" spans="3:4" x14ac:dyDescent="0.25">
      <c r="C633" s="38">
        <v>23.8</v>
      </c>
      <c r="D633" s="4">
        <f t="shared" si="93"/>
        <v>23.900000000000002</v>
      </c>
    </row>
    <row r="634" spans="3:4" x14ac:dyDescent="0.25">
      <c r="C634" s="38">
        <v>23.9</v>
      </c>
      <c r="D634" s="4">
        <f t="shared" si="93"/>
        <v>24</v>
      </c>
    </row>
    <row r="635" spans="3:4" x14ac:dyDescent="0.25">
      <c r="C635" s="38">
        <v>24</v>
      </c>
      <c r="D635" s="4">
        <f t="shared" si="93"/>
        <v>24.1</v>
      </c>
    </row>
    <row r="636" spans="3:4" x14ac:dyDescent="0.25">
      <c r="C636" s="38">
        <v>24.1</v>
      </c>
      <c r="D636" s="4">
        <f t="shared" si="93"/>
        <v>24.200000000000003</v>
      </c>
    </row>
    <row r="637" spans="3:4" x14ac:dyDescent="0.25">
      <c r="C637" s="38">
        <v>24.2</v>
      </c>
      <c r="D637" s="4">
        <f t="shared" si="93"/>
        <v>24.3</v>
      </c>
    </row>
    <row r="638" spans="3:4" x14ac:dyDescent="0.25">
      <c r="C638" s="38">
        <v>24.3</v>
      </c>
      <c r="D638" s="4">
        <f t="shared" si="93"/>
        <v>24.400000000000002</v>
      </c>
    </row>
    <row r="639" spans="3:4" x14ac:dyDescent="0.25">
      <c r="C639" s="38">
        <v>24.4</v>
      </c>
      <c r="D639" s="4">
        <f t="shared" si="93"/>
        <v>24.5</v>
      </c>
    </row>
    <row r="640" spans="3:4" x14ac:dyDescent="0.25">
      <c r="C640" s="38">
        <v>24.5</v>
      </c>
      <c r="D640" s="4">
        <f t="shared" si="93"/>
        <v>24.6</v>
      </c>
    </row>
    <row r="641" spans="3:4" x14ac:dyDescent="0.25">
      <c r="C641" s="38">
        <v>24.6</v>
      </c>
      <c r="D641" s="4">
        <f t="shared" si="93"/>
        <v>24.700000000000003</v>
      </c>
    </row>
    <row r="642" spans="3:4" x14ac:dyDescent="0.25">
      <c r="C642" s="38">
        <v>24.7</v>
      </c>
      <c r="D642" s="4">
        <f t="shared" si="93"/>
        <v>24.8</v>
      </c>
    </row>
    <row r="643" spans="3:4" x14ac:dyDescent="0.25">
      <c r="C643" s="38">
        <v>24.8</v>
      </c>
      <c r="D643" s="4">
        <f t="shared" si="93"/>
        <v>24.900000000000002</v>
      </c>
    </row>
    <row r="644" spans="3:4" x14ac:dyDescent="0.25">
      <c r="C644" s="38">
        <v>24.9</v>
      </c>
      <c r="D644" s="4">
        <f t="shared" si="93"/>
        <v>25</v>
      </c>
    </row>
    <row r="645" spans="3:4" x14ac:dyDescent="0.25">
      <c r="C645" s="38">
        <v>25</v>
      </c>
      <c r="D645" s="4">
        <f t="shared" si="93"/>
        <v>25.1</v>
      </c>
    </row>
    <row r="646" spans="3:4" x14ac:dyDescent="0.25">
      <c r="C646" s="38">
        <v>25.1</v>
      </c>
      <c r="D646" s="4">
        <f t="shared" si="93"/>
        <v>25.200000000000003</v>
      </c>
    </row>
    <row r="647" spans="3:4" x14ac:dyDescent="0.25">
      <c r="C647" s="38">
        <v>25.2</v>
      </c>
      <c r="D647" s="4">
        <f t="shared" si="93"/>
        <v>25.3</v>
      </c>
    </row>
    <row r="648" spans="3:4" x14ac:dyDescent="0.25">
      <c r="C648" s="38">
        <v>25.3</v>
      </c>
      <c r="D648" s="4">
        <f t="shared" si="93"/>
        <v>25.400000000000002</v>
      </c>
    </row>
    <row r="649" spans="3:4" x14ac:dyDescent="0.25">
      <c r="C649" s="38">
        <v>25.4</v>
      </c>
      <c r="D649" s="4">
        <f t="shared" si="93"/>
        <v>25.5</v>
      </c>
    </row>
    <row r="650" spans="3:4" x14ac:dyDescent="0.25">
      <c r="C650" s="38">
        <v>25.5</v>
      </c>
      <c r="D650" s="4">
        <f t="shared" si="93"/>
        <v>25.6</v>
      </c>
    </row>
    <row r="651" spans="3:4" x14ac:dyDescent="0.25">
      <c r="C651" s="38">
        <v>25.6</v>
      </c>
      <c r="D651" s="4">
        <f t="shared" si="93"/>
        <v>25.700000000000003</v>
      </c>
    </row>
    <row r="652" spans="3:4" x14ac:dyDescent="0.25">
      <c r="C652" s="38">
        <v>25.7</v>
      </c>
      <c r="D652" s="4">
        <f t="shared" ref="D652:D715" si="94">(IF(C652&lt;=4.4,C652+$D$6,IF(AND(C652&gt;=4.5,C652&lt;=11.4),C652+$D$7,IF(AND(C652&gt;=11.5,C652&lt;=18.4),C652+$D$8,IF(AND(C652&gt;=18.5,C652&lt;=26.4),C652+$D$9,IF(AND(C652&gt;=26.4,C652&lt;=36),C652+$D$10,IF(C652&gt;=37,C652+$D$11)))))))</f>
        <v>25.8</v>
      </c>
    </row>
    <row r="653" spans="3:4" x14ac:dyDescent="0.25">
      <c r="C653" s="38">
        <v>25.8</v>
      </c>
      <c r="D653" s="4">
        <f t="shared" si="94"/>
        <v>25.900000000000002</v>
      </c>
    </row>
    <row r="654" spans="3:4" x14ac:dyDescent="0.25">
      <c r="C654" s="38">
        <v>25.9</v>
      </c>
      <c r="D654" s="4">
        <f t="shared" si="94"/>
        <v>26</v>
      </c>
    </row>
    <row r="655" spans="3:4" x14ac:dyDescent="0.25">
      <c r="C655" s="38">
        <v>26</v>
      </c>
      <c r="D655" s="4">
        <f t="shared" si="94"/>
        <v>26.1</v>
      </c>
    </row>
    <row r="656" spans="3:4" x14ac:dyDescent="0.25">
      <c r="C656" s="38">
        <v>26.1</v>
      </c>
      <c r="D656" s="4">
        <f t="shared" si="94"/>
        <v>26.200000000000003</v>
      </c>
    </row>
    <row r="657" spans="3:4" x14ac:dyDescent="0.25">
      <c r="C657" s="38">
        <v>26.2</v>
      </c>
      <c r="D657" s="4">
        <f t="shared" si="94"/>
        <v>26.3</v>
      </c>
    </row>
    <row r="658" spans="3:4" x14ac:dyDescent="0.25">
      <c r="C658" s="38">
        <v>26.3</v>
      </c>
      <c r="D658" s="4">
        <f t="shared" si="94"/>
        <v>26.400000000000002</v>
      </c>
    </row>
    <row r="659" spans="3:4" x14ac:dyDescent="0.25">
      <c r="C659" s="38">
        <v>26.4</v>
      </c>
      <c r="D659" s="4">
        <f t="shared" si="94"/>
        <v>26.5</v>
      </c>
    </row>
    <row r="660" spans="3:4" x14ac:dyDescent="0.25">
      <c r="C660" s="38">
        <v>26.5</v>
      </c>
      <c r="D660" s="4">
        <f t="shared" si="94"/>
        <v>26.7</v>
      </c>
    </row>
    <row r="661" spans="3:4" x14ac:dyDescent="0.25">
      <c r="C661" s="38">
        <v>26.6</v>
      </c>
      <c r="D661" s="4">
        <f t="shared" si="94"/>
        <v>26.8</v>
      </c>
    </row>
    <row r="662" spans="3:4" x14ac:dyDescent="0.25">
      <c r="C662" s="38">
        <v>26.7</v>
      </c>
      <c r="D662" s="4">
        <f t="shared" si="94"/>
        <v>26.9</v>
      </c>
    </row>
    <row r="663" spans="3:4" x14ac:dyDescent="0.25">
      <c r="C663" s="38">
        <v>26.8</v>
      </c>
      <c r="D663" s="4">
        <f t="shared" si="94"/>
        <v>27</v>
      </c>
    </row>
    <row r="664" spans="3:4" x14ac:dyDescent="0.25">
      <c r="C664" s="38">
        <v>26.9</v>
      </c>
      <c r="D664" s="4">
        <f t="shared" si="94"/>
        <v>27.099999999999998</v>
      </c>
    </row>
    <row r="665" spans="3:4" x14ac:dyDescent="0.25">
      <c r="C665" s="38">
        <v>27</v>
      </c>
      <c r="D665" s="4">
        <f t="shared" si="94"/>
        <v>27.2</v>
      </c>
    </row>
    <row r="666" spans="3:4" x14ac:dyDescent="0.25">
      <c r="C666" s="38">
        <v>27.1</v>
      </c>
      <c r="D666" s="4">
        <f t="shared" si="94"/>
        <v>27.3</v>
      </c>
    </row>
    <row r="667" spans="3:4" x14ac:dyDescent="0.25">
      <c r="C667" s="38">
        <v>27.2</v>
      </c>
      <c r="D667" s="4">
        <f t="shared" si="94"/>
        <v>27.4</v>
      </c>
    </row>
    <row r="668" spans="3:4" x14ac:dyDescent="0.25">
      <c r="C668" s="38">
        <v>27.3</v>
      </c>
      <c r="D668" s="4">
        <f t="shared" si="94"/>
        <v>27.5</v>
      </c>
    </row>
    <row r="669" spans="3:4" x14ac:dyDescent="0.25">
      <c r="C669" s="38">
        <v>27.4</v>
      </c>
      <c r="D669" s="4">
        <f t="shared" si="94"/>
        <v>27.599999999999998</v>
      </c>
    </row>
    <row r="670" spans="3:4" x14ac:dyDescent="0.25">
      <c r="C670" s="38">
        <v>27.5</v>
      </c>
      <c r="D670" s="4">
        <f t="shared" si="94"/>
        <v>27.7</v>
      </c>
    </row>
    <row r="671" spans="3:4" x14ac:dyDescent="0.25">
      <c r="C671" s="38">
        <v>27.6</v>
      </c>
      <c r="D671" s="4">
        <f t="shared" si="94"/>
        <v>27.8</v>
      </c>
    </row>
    <row r="672" spans="3:4" x14ac:dyDescent="0.25">
      <c r="C672" s="38">
        <v>27.7</v>
      </c>
      <c r="D672" s="4">
        <f t="shared" si="94"/>
        <v>27.9</v>
      </c>
    </row>
    <row r="673" spans="3:4" x14ac:dyDescent="0.25">
      <c r="C673" s="38">
        <v>27.8</v>
      </c>
      <c r="D673" s="4">
        <f t="shared" si="94"/>
        <v>28</v>
      </c>
    </row>
    <row r="674" spans="3:4" x14ac:dyDescent="0.25">
      <c r="C674" s="38">
        <v>27.9</v>
      </c>
      <c r="D674" s="4">
        <f t="shared" si="94"/>
        <v>28.099999999999998</v>
      </c>
    </row>
    <row r="675" spans="3:4" x14ac:dyDescent="0.25">
      <c r="C675" s="38">
        <v>28</v>
      </c>
      <c r="D675" s="4">
        <f t="shared" si="94"/>
        <v>28.2</v>
      </c>
    </row>
    <row r="676" spans="3:4" x14ac:dyDescent="0.25">
      <c r="C676" s="38">
        <v>28.1</v>
      </c>
      <c r="D676" s="4">
        <f t="shared" si="94"/>
        <v>28.3</v>
      </c>
    </row>
    <row r="677" spans="3:4" x14ac:dyDescent="0.25">
      <c r="C677" s="38">
        <v>28.2</v>
      </c>
      <c r="D677" s="4">
        <f t="shared" si="94"/>
        <v>28.4</v>
      </c>
    </row>
    <row r="678" spans="3:4" x14ac:dyDescent="0.25">
      <c r="C678" s="38">
        <v>28.3</v>
      </c>
      <c r="D678" s="4">
        <f t="shared" si="94"/>
        <v>28.5</v>
      </c>
    </row>
    <row r="679" spans="3:4" x14ac:dyDescent="0.25">
      <c r="C679" s="38">
        <v>28.4</v>
      </c>
      <c r="D679" s="4">
        <f t="shared" si="94"/>
        <v>28.599999999999998</v>
      </c>
    </row>
    <row r="680" spans="3:4" x14ac:dyDescent="0.25">
      <c r="C680" s="38">
        <v>28.5</v>
      </c>
      <c r="D680" s="4">
        <f t="shared" si="94"/>
        <v>28.7</v>
      </c>
    </row>
    <row r="681" spans="3:4" x14ac:dyDescent="0.25">
      <c r="C681" s="38">
        <v>28.6</v>
      </c>
      <c r="D681" s="4">
        <f t="shared" si="94"/>
        <v>28.8</v>
      </c>
    </row>
    <row r="682" spans="3:4" x14ac:dyDescent="0.25">
      <c r="C682" s="38">
        <v>28.7</v>
      </c>
      <c r="D682" s="4">
        <f t="shared" si="94"/>
        <v>28.9</v>
      </c>
    </row>
    <row r="683" spans="3:4" x14ac:dyDescent="0.25">
      <c r="C683" s="38">
        <v>28.8</v>
      </c>
      <c r="D683" s="4">
        <f t="shared" si="94"/>
        <v>29</v>
      </c>
    </row>
    <row r="684" spans="3:4" x14ac:dyDescent="0.25">
      <c r="C684" s="38">
        <v>28.9</v>
      </c>
      <c r="D684" s="4">
        <f t="shared" si="94"/>
        <v>29.099999999999998</v>
      </c>
    </row>
    <row r="685" spans="3:4" x14ac:dyDescent="0.25">
      <c r="C685" s="38">
        <v>29</v>
      </c>
      <c r="D685" s="4">
        <f t="shared" si="94"/>
        <v>29.2</v>
      </c>
    </row>
    <row r="686" spans="3:4" x14ac:dyDescent="0.25">
      <c r="C686" s="38">
        <v>29.1</v>
      </c>
      <c r="D686" s="4">
        <f t="shared" si="94"/>
        <v>29.3</v>
      </c>
    </row>
    <row r="687" spans="3:4" x14ac:dyDescent="0.25">
      <c r="C687" s="38">
        <v>29.2</v>
      </c>
      <c r="D687" s="4">
        <f t="shared" si="94"/>
        <v>29.4</v>
      </c>
    </row>
    <row r="688" spans="3:4" x14ac:dyDescent="0.25">
      <c r="C688" s="38">
        <v>29.3</v>
      </c>
      <c r="D688" s="4">
        <f t="shared" si="94"/>
        <v>29.5</v>
      </c>
    </row>
    <row r="689" spans="3:4" x14ac:dyDescent="0.25">
      <c r="C689" s="38">
        <v>29.4</v>
      </c>
      <c r="D689" s="4">
        <f t="shared" si="94"/>
        <v>29.599999999999998</v>
      </c>
    </row>
    <row r="690" spans="3:4" x14ac:dyDescent="0.25">
      <c r="C690" s="38">
        <v>29.5</v>
      </c>
      <c r="D690" s="4">
        <f t="shared" si="94"/>
        <v>29.7</v>
      </c>
    </row>
    <row r="691" spans="3:4" x14ac:dyDescent="0.25">
      <c r="C691" s="38">
        <v>29.6</v>
      </c>
      <c r="D691" s="4">
        <f t="shared" si="94"/>
        <v>29.8</v>
      </c>
    </row>
    <row r="692" spans="3:4" x14ac:dyDescent="0.25">
      <c r="C692" s="38">
        <v>29.7</v>
      </c>
      <c r="D692" s="4">
        <f t="shared" si="94"/>
        <v>29.9</v>
      </c>
    </row>
    <row r="693" spans="3:4" x14ac:dyDescent="0.25">
      <c r="C693" s="38">
        <v>29.8</v>
      </c>
      <c r="D693" s="4">
        <f t="shared" si="94"/>
        <v>30</v>
      </c>
    </row>
    <row r="694" spans="3:4" x14ac:dyDescent="0.25">
      <c r="C694" s="38">
        <v>29.9</v>
      </c>
      <c r="D694" s="4">
        <f t="shared" si="94"/>
        <v>30.099999999999998</v>
      </c>
    </row>
    <row r="695" spans="3:4" x14ac:dyDescent="0.25">
      <c r="C695" s="38">
        <v>30</v>
      </c>
      <c r="D695" s="4">
        <f t="shared" si="94"/>
        <v>30.2</v>
      </c>
    </row>
    <row r="696" spans="3:4" x14ac:dyDescent="0.25">
      <c r="C696" s="38">
        <v>30.1</v>
      </c>
      <c r="D696" s="4">
        <f t="shared" si="94"/>
        <v>30.3</v>
      </c>
    </row>
    <row r="697" spans="3:4" x14ac:dyDescent="0.25">
      <c r="C697" s="38">
        <v>30.2</v>
      </c>
      <c r="D697" s="4">
        <f t="shared" si="94"/>
        <v>30.4</v>
      </c>
    </row>
    <row r="698" spans="3:4" x14ac:dyDescent="0.25">
      <c r="C698" s="38">
        <v>30.3</v>
      </c>
      <c r="D698" s="4">
        <f t="shared" si="94"/>
        <v>30.5</v>
      </c>
    </row>
    <row r="699" spans="3:4" x14ac:dyDescent="0.25">
      <c r="C699" s="38">
        <v>30.4</v>
      </c>
      <c r="D699" s="4">
        <f t="shared" si="94"/>
        <v>30.599999999999998</v>
      </c>
    </row>
    <row r="700" spans="3:4" x14ac:dyDescent="0.25">
      <c r="C700" s="38">
        <v>30.5</v>
      </c>
      <c r="D700" s="4">
        <f t="shared" si="94"/>
        <v>30.7</v>
      </c>
    </row>
    <row r="701" spans="3:4" x14ac:dyDescent="0.25">
      <c r="C701" s="38">
        <v>30.6</v>
      </c>
      <c r="D701" s="4">
        <f t="shared" si="94"/>
        <v>30.8</v>
      </c>
    </row>
    <row r="702" spans="3:4" x14ac:dyDescent="0.25">
      <c r="C702" s="38">
        <v>30.7</v>
      </c>
      <c r="D702" s="4">
        <f t="shared" si="94"/>
        <v>30.9</v>
      </c>
    </row>
    <row r="703" spans="3:4" x14ac:dyDescent="0.25">
      <c r="C703" s="38">
        <v>30.8</v>
      </c>
      <c r="D703" s="4">
        <f t="shared" si="94"/>
        <v>31</v>
      </c>
    </row>
    <row r="704" spans="3:4" x14ac:dyDescent="0.25">
      <c r="C704" s="38">
        <v>30.9</v>
      </c>
      <c r="D704" s="4">
        <f t="shared" si="94"/>
        <v>31.099999999999998</v>
      </c>
    </row>
    <row r="705" spans="3:4" x14ac:dyDescent="0.25">
      <c r="C705" s="38">
        <v>31</v>
      </c>
      <c r="D705" s="4">
        <f t="shared" si="94"/>
        <v>31.2</v>
      </c>
    </row>
    <row r="706" spans="3:4" x14ac:dyDescent="0.25">
      <c r="C706" s="38">
        <v>31.1</v>
      </c>
      <c r="D706" s="4">
        <f t="shared" si="94"/>
        <v>31.3</v>
      </c>
    </row>
    <row r="707" spans="3:4" x14ac:dyDescent="0.25">
      <c r="C707" s="38">
        <v>31.2</v>
      </c>
      <c r="D707" s="4">
        <f t="shared" si="94"/>
        <v>31.4</v>
      </c>
    </row>
    <row r="708" spans="3:4" x14ac:dyDescent="0.25">
      <c r="C708" s="38">
        <v>31.3</v>
      </c>
      <c r="D708" s="4">
        <f t="shared" si="94"/>
        <v>31.5</v>
      </c>
    </row>
    <row r="709" spans="3:4" x14ac:dyDescent="0.25">
      <c r="C709" s="38">
        <v>31.4</v>
      </c>
      <c r="D709" s="4">
        <f t="shared" si="94"/>
        <v>31.599999999999998</v>
      </c>
    </row>
    <row r="710" spans="3:4" x14ac:dyDescent="0.25">
      <c r="C710" s="38">
        <v>31.5</v>
      </c>
      <c r="D710" s="4">
        <f t="shared" si="94"/>
        <v>31.7</v>
      </c>
    </row>
    <row r="711" spans="3:4" x14ac:dyDescent="0.25">
      <c r="C711" s="38">
        <v>31.6</v>
      </c>
      <c r="D711" s="4">
        <f t="shared" si="94"/>
        <v>31.8</v>
      </c>
    </row>
    <row r="712" spans="3:4" x14ac:dyDescent="0.25">
      <c r="C712" s="38">
        <v>31.7</v>
      </c>
      <c r="D712" s="4">
        <f t="shared" si="94"/>
        <v>31.9</v>
      </c>
    </row>
    <row r="713" spans="3:4" x14ac:dyDescent="0.25">
      <c r="C713" s="38">
        <v>31.8</v>
      </c>
      <c r="D713" s="4">
        <f t="shared" si="94"/>
        <v>32</v>
      </c>
    </row>
    <row r="714" spans="3:4" x14ac:dyDescent="0.25">
      <c r="C714" s="38">
        <v>31.9</v>
      </c>
      <c r="D714" s="4">
        <f t="shared" si="94"/>
        <v>32.1</v>
      </c>
    </row>
    <row r="715" spans="3:4" x14ac:dyDescent="0.25">
      <c r="C715" s="38">
        <v>32</v>
      </c>
      <c r="D715" s="4">
        <f t="shared" si="94"/>
        <v>32.200000000000003</v>
      </c>
    </row>
    <row r="716" spans="3:4" x14ac:dyDescent="0.25">
      <c r="C716" s="38">
        <v>32.1</v>
      </c>
      <c r="D716" s="4">
        <f t="shared" ref="D716:D754" si="95">(IF(C716&lt;=4.4,C716+$D$6,IF(AND(C716&gt;=4.5,C716&lt;=11.4),C716+$D$7,IF(AND(C716&gt;=11.5,C716&lt;=18.4),C716+$D$8,IF(AND(C716&gt;=18.5,C716&lt;=26.4),C716+$D$9,IF(AND(C716&gt;=26.4,C716&lt;=36),C716+$D$10,IF(C716&gt;=37,C716+$D$11)))))))</f>
        <v>32.300000000000004</v>
      </c>
    </row>
    <row r="717" spans="3:4" x14ac:dyDescent="0.25">
      <c r="C717" s="38">
        <v>32.200000000000003</v>
      </c>
      <c r="D717" s="4">
        <f t="shared" si="95"/>
        <v>32.400000000000006</v>
      </c>
    </row>
    <row r="718" spans="3:4" x14ac:dyDescent="0.25">
      <c r="C718" s="38">
        <v>32.299999999999997</v>
      </c>
      <c r="D718" s="4">
        <f t="shared" si="95"/>
        <v>32.5</v>
      </c>
    </row>
    <row r="719" spans="3:4" x14ac:dyDescent="0.25">
      <c r="C719" s="38">
        <v>32.4</v>
      </c>
      <c r="D719" s="4">
        <f t="shared" si="95"/>
        <v>32.6</v>
      </c>
    </row>
    <row r="720" spans="3:4" x14ac:dyDescent="0.25">
      <c r="C720" s="38">
        <v>32.5</v>
      </c>
      <c r="D720" s="4">
        <f t="shared" si="95"/>
        <v>32.700000000000003</v>
      </c>
    </row>
    <row r="721" spans="3:4" x14ac:dyDescent="0.25">
      <c r="C721" s="38">
        <v>32.6</v>
      </c>
      <c r="D721" s="4">
        <f t="shared" si="95"/>
        <v>32.800000000000004</v>
      </c>
    </row>
    <row r="722" spans="3:4" x14ac:dyDescent="0.25">
      <c r="C722" s="38">
        <v>32.700000000000003</v>
      </c>
      <c r="D722" s="4">
        <f t="shared" si="95"/>
        <v>32.900000000000006</v>
      </c>
    </row>
    <row r="723" spans="3:4" x14ac:dyDescent="0.25">
      <c r="C723" s="38">
        <v>32.799999999999997</v>
      </c>
      <c r="D723" s="4">
        <f t="shared" si="95"/>
        <v>33</v>
      </c>
    </row>
    <row r="724" spans="3:4" x14ac:dyDescent="0.25">
      <c r="C724" s="38">
        <v>32.9</v>
      </c>
      <c r="D724" s="4">
        <f t="shared" si="95"/>
        <v>33.1</v>
      </c>
    </row>
    <row r="725" spans="3:4" x14ac:dyDescent="0.25">
      <c r="C725" s="38">
        <v>33</v>
      </c>
      <c r="D725" s="4">
        <f t="shared" si="95"/>
        <v>33.200000000000003</v>
      </c>
    </row>
    <row r="726" spans="3:4" x14ac:dyDescent="0.25">
      <c r="C726" s="38">
        <v>33.1</v>
      </c>
      <c r="D726" s="4">
        <f t="shared" si="95"/>
        <v>33.300000000000004</v>
      </c>
    </row>
    <row r="727" spans="3:4" x14ac:dyDescent="0.25">
      <c r="C727" s="38">
        <v>33.200000000000003</v>
      </c>
      <c r="D727" s="4">
        <f t="shared" si="95"/>
        <v>33.400000000000006</v>
      </c>
    </row>
    <row r="728" spans="3:4" x14ac:dyDescent="0.25">
      <c r="C728" s="38">
        <v>33.299999999999997</v>
      </c>
      <c r="D728" s="4">
        <f t="shared" si="95"/>
        <v>33.5</v>
      </c>
    </row>
    <row r="729" spans="3:4" x14ac:dyDescent="0.25">
      <c r="C729" s="38">
        <v>33.4</v>
      </c>
      <c r="D729" s="4">
        <f t="shared" si="95"/>
        <v>33.6</v>
      </c>
    </row>
    <row r="730" spans="3:4" x14ac:dyDescent="0.25">
      <c r="C730" s="38">
        <v>33.5</v>
      </c>
      <c r="D730" s="4">
        <f t="shared" si="95"/>
        <v>33.700000000000003</v>
      </c>
    </row>
    <row r="731" spans="3:4" x14ac:dyDescent="0.25">
      <c r="C731" s="38">
        <v>33.6</v>
      </c>
      <c r="D731" s="4">
        <f t="shared" si="95"/>
        <v>33.800000000000004</v>
      </c>
    </row>
    <row r="732" spans="3:4" x14ac:dyDescent="0.25">
      <c r="C732" s="38">
        <v>33.700000000000003</v>
      </c>
      <c r="D732" s="4">
        <f t="shared" si="95"/>
        <v>33.900000000000006</v>
      </c>
    </row>
    <row r="733" spans="3:4" x14ac:dyDescent="0.25">
      <c r="C733" s="38">
        <v>33.799999999999997</v>
      </c>
      <c r="D733" s="4">
        <f t="shared" si="95"/>
        <v>34</v>
      </c>
    </row>
    <row r="734" spans="3:4" x14ac:dyDescent="0.25">
      <c r="C734" s="38">
        <v>33.9</v>
      </c>
      <c r="D734" s="4">
        <f t="shared" si="95"/>
        <v>34.1</v>
      </c>
    </row>
    <row r="735" spans="3:4" x14ac:dyDescent="0.25">
      <c r="C735" s="38">
        <v>34</v>
      </c>
      <c r="D735" s="4">
        <f t="shared" si="95"/>
        <v>34.200000000000003</v>
      </c>
    </row>
    <row r="736" spans="3:4" x14ac:dyDescent="0.25">
      <c r="C736" s="38">
        <v>34.1</v>
      </c>
      <c r="D736" s="4">
        <f t="shared" si="95"/>
        <v>34.300000000000004</v>
      </c>
    </row>
    <row r="737" spans="3:4" x14ac:dyDescent="0.25">
      <c r="C737" s="38">
        <v>34.200000000000003</v>
      </c>
      <c r="D737" s="4">
        <f t="shared" si="95"/>
        <v>34.400000000000006</v>
      </c>
    </row>
    <row r="738" spans="3:4" x14ac:dyDescent="0.25">
      <c r="C738" s="38">
        <v>34.299999999999997</v>
      </c>
      <c r="D738" s="4">
        <f t="shared" si="95"/>
        <v>34.5</v>
      </c>
    </row>
    <row r="739" spans="3:4" x14ac:dyDescent="0.25">
      <c r="C739" s="38">
        <v>34.4</v>
      </c>
      <c r="D739" s="4">
        <f t="shared" si="95"/>
        <v>34.6</v>
      </c>
    </row>
    <row r="740" spans="3:4" x14ac:dyDescent="0.25">
      <c r="C740" s="38">
        <v>34.5</v>
      </c>
      <c r="D740" s="4">
        <f t="shared" si="95"/>
        <v>34.700000000000003</v>
      </c>
    </row>
    <row r="741" spans="3:4" x14ac:dyDescent="0.25">
      <c r="C741" s="38">
        <v>34.6</v>
      </c>
      <c r="D741" s="4">
        <f t="shared" si="95"/>
        <v>34.800000000000004</v>
      </c>
    </row>
    <row r="742" spans="3:4" x14ac:dyDescent="0.25">
      <c r="C742" s="38">
        <v>34.700000000000003</v>
      </c>
      <c r="D742" s="4">
        <f t="shared" si="95"/>
        <v>34.900000000000006</v>
      </c>
    </row>
    <row r="743" spans="3:4" x14ac:dyDescent="0.25">
      <c r="C743" s="38">
        <v>34.799999999999997</v>
      </c>
      <c r="D743" s="4">
        <f t="shared" si="95"/>
        <v>35</v>
      </c>
    </row>
    <row r="744" spans="3:4" x14ac:dyDescent="0.25">
      <c r="C744" s="38">
        <v>34.9</v>
      </c>
      <c r="D744" s="4">
        <f t="shared" si="95"/>
        <v>35.1</v>
      </c>
    </row>
    <row r="745" spans="3:4" x14ac:dyDescent="0.25">
      <c r="C745" s="38">
        <v>35</v>
      </c>
      <c r="D745" s="4">
        <f t="shared" si="95"/>
        <v>35.200000000000003</v>
      </c>
    </row>
    <row r="746" spans="3:4" x14ac:dyDescent="0.25">
      <c r="C746" s="38">
        <v>35.1</v>
      </c>
      <c r="D746" s="4">
        <f t="shared" si="95"/>
        <v>35.300000000000004</v>
      </c>
    </row>
    <row r="747" spans="3:4" x14ac:dyDescent="0.25">
      <c r="C747" s="38">
        <v>35.200000000000003</v>
      </c>
      <c r="D747" s="4">
        <f t="shared" si="95"/>
        <v>35.400000000000006</v>
      </c>
    </row>
    <row r="748" spans="3:4" x14ac:dyDescent="0.25">
      <c r="C748" s="38">
        <v>35.299999999999997</v>
      </c>
      <c r="D748" s="4">
        <f t="shared" si="95"/>
        <v>35.5</v>
      </c>
    </row>
    <row r="749" spans="3:4" x14ac:dyDescent="0.25">
      <c r="C749" s="38">
        <v>35.4</v>
      </c>
      <c r="D749" s="4">
        <f t="shared" si="95"/>
        <v>35.6</v>
      </c>
    </row>
    <row r="750" spans="3:4" x14ac:dyDescent="0.25">
      <c r="C750" s="38">
        <v>35.5</v>
      </c>
      <c r="D750" s="4">
        <f t="shared" si="95"/>
        <v>35.700000000000003</v>
      </c>
    </row>
    <row r="751" spans="3:4" x14ac:dyDescent="0.25">
      <c r="C751" s="38">
        <v>35.6</v>
      </c>
      <c r="D751" s="4">
        <f t="shared" si="95"/>
        <v>35.800000000000004</v>
      </c>
    </row>
    <row r="752" spans="3:4" x14ac:dyDescent="0.25">
      <c r="C752" s="38">
        <v>35.700000000000003</v>
      </c>
      <c r="D752" s="4">
        <f t="shared" si="95"/>
        <v>35.900000000000006</v>
      </c>
    </row>
    <row r="753" spans="3:4" x14ac:dyDescent="0.25">
      <c r="C753" s="38">
        <v>35.799999999999997</v>
      </c>
      <c r="D753" s="4">
        <f t="shared" si="95"/>
        <v>36</v>
      </c>
    </row>
    <row r="754" spans="3:4" x14ac:dyDescent="0.25">
      <c r="C754" s="38">
        <v>35.9</v>
      </c>
      <c r="D754" s="4">
        <f t="shared" si="95"/>
        <v>36.1</v>
      </c>
    </row>
    <row r="755" spans="3:4" ht="15.75" thickBot="1" x14ac:dyDescent="0.3">
      <c r="C755" s="39">
        <v>36</v>
      </c>
      <c r="D755" s="4">
        <v>36</v>
      </c>
    </row>
  </sheetData>
  <mergeCells count="3">
    <mergeCell ref="E1:E4"/>
    <mergeCell ref="D26:AK26"/>
    <mergeCell ref="D27:AK27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3-Spieler</vt:lpstr>
      <vt:lpstr>Basis</vt:lpstr>
      <vt:lpstr>HCP</vt:lpstr>
    </vt:vector>
  </TitlesOfParts>
  <Manager/>
  <Company>RHOTHETA Elektronik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Schlehhuber</dc:creator>
  <cp:keywords/>
  <dc:description/>
  <cp:lastModifiedBy>Ludwig Lenz</cp:lastModifiedBy>
  <cp:revision/>
  <dcterms:created xsi:type="dcterms:W3CDTF">2016-08-03T09:17:27Z</dcterms:created>
  <dcterms:modified xsi:type="dcterms:W3CDTF">2026-08-05T13:38:26Z</dcterms:modified>
  <cp:category/>
  <cp:contentStatus/>
</cp:coreProperties>
</file>